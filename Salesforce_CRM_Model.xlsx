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 Build" sheetId="3" state="visible" r:id="rId5"/>
    <sheet name="IS" sheetId="4" state="visible" r:id="rId6"/>
    <sheet name="BS" sheetId="5" state="visible" r:id="rId7"/>
    <sheet name="CF" sheetId="6" state="visible" r:id="rId8"/>
    <sheet name="DCF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Source: Q4 FY24 and Q4 FY26 earnings releases (8-K Ex. 99.1). Jan-26 includes ~$2.2B Informatica</t>
        </r>
      </text>
    </comment>
    <comment ref="B28" authorId="0">
      <text>
        <r>
          <rPr>
            <sz val="10"/>
            <rFont val="Arial"/>
            <family val="2"/>
          </rPr>
          <t xml:space="preserve">Q2 FY27 earnings release (Aug 26, 2026): raised to $46.1B-$46.4B</t>
        </r>
      </text>
    </comment>
  </commentList>
</comments>
</file>

<file path=xl/sharedStrings.xml><?xml version="1.0" encoding="utf-8"?>
<sst xmlns="http://schemas.openxmlformats.org/spreadsheetml/2006/main" count="401" uniqueCount="347">
  <si>
    <t xml:space="preserve">Salesforce, Inc. (NYSE: CRM) - 3-Statement Model &amp; DCF</t>
  </si>
  <si>
    <t xml:space="preserve">Built Oct 14, 2026. Base year FY2026A (Jan 31, 2026); forecast FY2027E-FY2031E. $ in millions.</t>
  </si>
  <si>
    <t xml:space="preserve">Key outputs (live scenario)</t>
  </si>
  <si>
    <t xml:space="preserve">Active scenario</t>
  </si>
  <si>
    <t xml:space="preserve">Implied value per share - blended ($)</t>
  </si>
  <si>
    <t xml:space="preserve">Implied value per share - perpetuity ($)</t>
  </si>
  <si>
    <t xml:space="preserve">Implied value per share - exit multiple ($)</t>
  </si>
  <si>
    <t xml:space="preserve">Current share price ($)</t>
  </si>
  <si>
    <t xml:space="preserve">Upside / (downside) - blended</t>
  </si>
  <si>
    <t xml:space="preserve">WACC</t>
  </si>
  <si>
    <t xml:space="preserve">FY27E revenue / within guidance?</t>
  </si>
  <si>
    <t xml:space="preserve">FY31E revenue</t>
  </si>
  <si>
    <t xml:space="preserve">FY26A-FY31E revenue CAGR</t>
  </si>
  <si>
    <t xml:space="preserve">FY31E GAAP operating margin</t>
  </si>
  <si>
    <t xml:space="preserve">FY31E non-GAAP operating margin</t>
  </si>
  <si>
    <t xml:space="preserve">FY31E free cash flow (CFO - capex)</t>
  </si>
  <si>
    <t xml:space="preserve">Model integrity checks</t>
  </si>
  <si>
    <t xml:space="preserve">Balance sheet balances in every year?</t>
  </si>
  <si>
    <t xml:space="preserve">Forecast cash stays positive?</t>
  </si>
  <si>
    <t xml:space="preserve">Historical CF ties to reported CFO?</t>
  </si>
  <si>
    <t xml:space="preserve">WACC &gt; terminal growth?</t>
  </si>
  <si>
    <t xml:space="preserve">Scenario snapshot (values pasted at build; re-run by changing Assumptions!B4)</t>
  </si>
  <si>
    <t xml:space="preserve">Downside</t>
  </si>
  <si>
    <t xml:space="preserve">Base</t>
  </si>
  <si>
    <t xml:space="preserve">Upside</t>
  </si>
  <si>
    <t xml:space="preserve">Value per share - blended ($)</t>
  </si>
  <si>
    <t xml:space="preserve">Upside / (downside)</t>
  </si>
  <si>
    <t xml:space="preserve">FY31E revenue ($mm)</t>
  </si>
  <si>
    <t xml:space="preserve">FY31E free cash flow ($mm)</t>
  </si>
  <si>
    <t xml:space="preserve">Snapshot uses base valuation inputs (WACC, terminal growth, exit multiple) in all three scenarios.</t>
  </si>
  <si>
    <t xml:space="preserve">How to use</t>
  </si>
  <si>
    <t xml:space="preserve">1. Flip the scenario on Assumptions!B4 (1 Downside, 2 Base, 3 Upside). Everything recalculates.</t>
  </si>
  <si>
    <t xml:space="preserve">2. Revenue engine: Revenue Build. Subscription revenue = prior year-end cRPO x conversion ratio; cRPO growth is the main lever.</t>
  </si>
  <si>
    <t xml:space="preserve">3. Costs and working capital are % of revenue on Assumptions; historical ratios are listed next to each input.</t>
  </si>
  <si>
    <t xml:space="preserve">4. Statements: IS -&gt; BS -&gt; CF. Ending cash on CF feeds BS cash; BS!31 must be 0 in every year.</t>
  </si>
  <si>
    <t xml:space="preserve">5. DCF: B16 toggles whether SBC is treated as a real cost (default 1 = yes). Sensitivity tables at DCF!A80 and A89.</t>
  </si>
  <si>
    <t xml:space="preserve">Colour code: blue = hardcoded input, black = formula, green = link to another sheet, yellow = key lever.</t>
  </si>
  <si>
    <t xml:space="preserve">Salesforce (CRM) - Forecast Assumptions</t>
  </si>
  <si>
    <t xml:space="preserve">Blue = hardcoded input. Yellow = key lever. Live rows (black) pick the active scenario with CHOOSE.</t>
  </si>
  <si>
    <t xml:space="preserve">Scenario selector (1 = Downside, 2 = Base, 3 = Upside)</t>
  </si>
  <si>
    <t xml:space="preserve">($ in millions, FY ends Jan 31)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</si>
  <si>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</si>
  <si>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</si>
  <si>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</si>
  <si>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</si>
  <si>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</si>
  <si>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Rationale / source</t>
  </si>
  <si>
    <t xml:space="preserve">Revenue drivers</t>
  </si>
  <si>
    <t xml:space="preserve">   Current RPO growth - Downside</t>
  </si>
  <si>
    <t xml:space="preserve">   Current RPO growth - Base</t>
  </si>
  <si>
    <t xml:space="preserve">Q2 FY27 cRPO +14% Y/Y (incl. Informatica); Q3 guide ~14%. Base fades as acquisition lap ends; FY30 ~ mgmt $63B target</t>
  </si>
  <si>
    <t xml:space="preserve">   Current RPO growth - Upside</t>
  </si>
  <si>
    <t xml:space="preserve">   Current RPO growth - LIVE</t>
  </si>
  <si>
    <t xml:space="preserve">   Next-year sub. revenue / prior-year-end cRPO (x)</t>
  </si>
  <si>
    <t xml:space="preserve">Historical: FY24 1.32x, FY25 1.29x, FY26 1.30x. FY27 1.257x reproduces guidance (sub growth slightly &gt;12%)</t>
  </si>
  <si>
    <t xml:space="preserve">   cRPO as % of total RPO</t>
  </si>
  <si>
    <t xml:space="preserve">Historical: 50.6% / 48.5% / 47.6% / 48.5% (Jan-23 to Jan-26). Memo only - drives total RPO KPI</t>
  </si>
  <si>
    <t xml:space="preserve">   Professional services growth - Downside</t>
  </si>
  <si>
    <t xml:space="preserve">   Professional services growth - Base</t>
  </si>
  <si>
    <t xml:space="preserve">PS revenue fell 4.5% FY25 and 3.6% FY26; low strategic priority</t>
  </si>
  <si>
    <t xml:space="preserve">   Professional services growth - Upside</t>
  </si>
  <si>
    <t xml:space="preserve">   Professional services growth - LIVE</t>
  </si>
  <si>
    <t xml:space="preserve">Cost structure (GAAP, SBC embedded in each line)</t>
  </si>
  <si>
    <t xml:space="preserve">   Cost of sub &amp; support (% of sub rev) - Downside</t>
  </si>
  <si>
    <t xml:space="preserve">Downside: AI inference/compute costs pressure gross margin</t>
  </si>
  <si>
    <t xml:space="preserve">   Cost of sub &amp; support (% of sub rev) - Base</t>
  </si>
  <si>
    <t xml:space="preserve">Historical: 20.1% / 19.0% / 17.4% / 17.3%</t>
  </si>
  <si>
    <t xml:space="preserve">   Cost of sub &amp; support (% of sub rev) - Upside</t>
  </si>
  <si>
    <t xml:space="preserve">   Cost of sub &amp; support (% of sub rev) - LIVE</t>
  </si>
  <si>
    <t xml:space="preserve">   Cost of prof. services (% of PS rev)</t>
  </si>
  <si>
    <t xml:space="preserve">Historical: 109% / 102% / 110% / 116% - PS runs at a loss</t>
  </si>
  <si>
    <t xml:space="preserve">   R&amp;D (% of revenue)</t>
  </si>
  <si>
    <t xml:space="preserve">Historical: 16.1% / 14.1% / 14.5% / 14.4%; FY27 adds Informatica R&amp;D</t>
  </si>
  <si>
    <t xml:space="preserve">   Sales &amp; marketing (% of revenue) - Downside</t>
  </si>
  <si>
    <t xml:space="preserve">   Sales &amp; marketing (% of revenue) - Base</t>
  </si>
  <si>
    <t xml:space="preserve">Historical: 43.1% / 36.9% / 35.0% / 34.5%. Base = ~50bp/yr efficiency</t>
  </si>
  <si>
    <t xml:space="preserve">   Sales &amp; marketing (% of revenue) - Upside</t>
  </si>
  <si>
    <t xml:space="preserve">   Sales &amp; marketing (% of revenue) - LIVE</t>
  </si>
  <si>
    <t xml:space="preserve">   G&amp;A (% of revenue)</t>
  </si>
  <si>
    <t xml:space="preserve">Historical: 8.1% / 7.3% / 7.5% / 7.2%</t>
  </si>
  <si>
    <t xml:space="preserve">   Restructuring (% of revenue)</t>
  </si>
  <si>
    <t xml:space="preserve">FY26 1.4%; assume tapering</t>
  </si>
  <si>
    <t xml:space="preserve">   Stock-based comp (% of revenue) - memo, already in opex</t>
  </si>
  <si>
    <t xml:space="preserve">Historical: 10.5% / 8.0% / 8.4% / 8.5%</t>
  </si>
  <si>
    <t xml:space="preserve">   Amortization of acquired intangibles ($mm)</t>
  </si>
  <si>
    <t xml:space="preserve">FY26 $1,687mm; Informatica adds a full year in FY27, then roll-off. Capped at remaining balance</t>
  </si>
  <si>
    <t xml:space="preserve">   Depreciation (% of beginning PP&amp;E)</t>
  </si>
  <si>
    <t xml:space="preserve">Owned PP&amp;E only. Finance-lease depreciation and lease principal payments are excluded (roughly offset)</t>
  </si>
  <si>
    <t xml:space="preserve">   Capex (% of revenue)</t>
  </si>
  <si>
    <t xml:space="preserve">FY27 guidance: ~1.5% of revenue</t>
  </si>
  <si>
    <t xml:space="preserve">   Effective tax rate</t>
  </si>
  <si>
    <t xml:space="preserve">FY27 GAAP guidance ~22.3%</t>
  </si>
  <si>
    <t xml:space="preserve">   Interest rate on average debt</t>
  </si>
  <si>
    <t xml:space="preserve">Blend of legacy low-coupon notes and 2026 issuance</t>
  </si>
  <si>
    <t xml:space="preserve">   Yield on beginning cash &amp; marketable securities</t>
  </si>
  <si>
    <t xml:space="preserve">Working capital</t>
  </si>
  <si>
    <t xml:space="preserve">   Accounts receivable (days of revenue, DSO)</t>
  </si>
  <si>
    <t xml:space="preserve">FY26: 126 days (Jan year-end is peak billing season)</t>
  </si>
  <si>
    <t xml:space="preserve">   Capitalized contract costs (% of revenue)</t>
  </si>
  <si>
    <t xml:space="preserve">FY26: 12.2% (current + noncurrent)</t>
  </si>
  <si>
    <t xml:space="preserve">   Prepaid &amp; other current assets (% of revenue)</t>
  </si>
  <si>
    <t xml:space="preserve">FY26: 5.4%</t>
  </si>
  <si>
    <t xml:space="preserve">   AP, accrued &amp; other liabilities (% of revenue)</t>
  </si>
  <si>
    <t xml:space="preserve">FY26: 19.9%</t>
  </si>
  <si>
    <t xml:space="preserve">   Unearned revenue (% of revenue)</t>
  </si>
  <si>
    <t xml:space="preserve">Historical: 55.4% / 54.5% / 54.7% / 58.6%. Key SaaS cash driver - flows to CFO</t>
  </si>
  <si>
    <t xml:space="preserve">Capital allocation</t>
  </si>
  <si>
    <t xml:space="preserve">   Acquisitions ($mm)</t>
  </si>
  <si>
    <t xml:space="preserve">FY27 = H1 actual. Contentful &amp; Fin deals pending, prices undisclosed - not included</t>
  </si>
  <si>
    <t xml:space="preserve">   Debt issuance ($mm)</t>
  </si>
  <si>
    <t xml:space="preserve">FY27 = H1 actual (funded the $25B ASR)</t>
  </si>
  <si>
    <t xml:space="preserve">   Debt repayment ($mm)</t>
  </si>
  <si>
    <t xml:space="preserve">Assumes maturities are refinanced</t>
  </si>
  <si>
    <t xml:space="preserve">   Share repurchases ($mm)</t>
  </si>
  <si>
    <t xml:space="preserve">FY27: H1 actual $27.3B incl. $25B ASR + small H2</t>
  </si>
  <si>
    <t xml:space="preserve">   Share repurchases (% of free cash flow)</t>
  </si>
  <si>
    <t xml:space="preserve">FY28+: half of FCF; remainder builds cash / deleverages</t>
  </si>
  <si>
    <t xml:space="preserve">   Dividends ($mm)</t>
  </si>
  <si>
    <t xml:space="preserve">Q2 FY27 dividend $364mm x 4</t>
  </si>
  <si>
    <t xml:space="preserve">   Dividend growth</t>
  </si>
  <si>
    <t xml:space="preserve">   Proceeds from employee stock plans ($mm)</t>
  </si>
  <si>
    <t xml:space="preserve">FY25 $1,540mm; FY26 $1,039mm</t>
  </si>
  <si>
    <t xml:space="preserve">   Diluted shares (mm)</t>
  </si>
  <si>
    <t xml:space="preserve">FY27 guidance: 838mm weighted average</t>
  </si>
  <si>
    <t xml:space="preserve">   Annual change in diluted shares</t>
  </si>
  <si>
    <t xml:space="preserve">Net of SBC dilution and buybacks</t>
  </si>
  <si>
    <t xml:space="preserve">Salesforce - RPO-Driven Revenue Build</t>
  </si>
  <si>
    <t xml:space="preserve">Subscription revenue = prior year-end current RPO x conversion ratio. cRPO is the bookings engine.</t>
  </si>
  <si>
    <t xml:space="preserve">FY2023A</t>
  </si>
  <si>
    <t xml:space="preserve">FY2024A</t>
  </si>
  <si>
    <t xml:space="preserve">FY2025A</t>
  </si>
  <si>
    <t xml:space="preserve">FY2026A</t>
  </si>
  <si>
    <t xml:space="preserve">Remaining performance obligation</t>
  </si>
  <si>
    <t xml:space="preserve">   Current RPO (cRPO), year-end</t>
  </si>
  <si>
    <t xml:space="preserve">      cRPO growth</t>
  </si>
  <si>
    <t xml:space="preserve">   Total RPO, year-end</t>
  </si>
  <si>
    <t xml:space="preserve">      cRPO as % of total RPO</t>
  </si>
  <si>
    <t xml:space="preserve">Revenue</t>
  </si>
  <si>
    <t xml:space="preserve">   Subscription &amp; support revenue</t>
  </si>
  <si>
    <t xml:space="preserve">      growth</t>
  </si>
  <si>
    <t xml:space="preserve">      Conversion: sub revenue / prior-year-end cRPO</t>
  </si>
  <si>
    <t xml:space="preserve">   Professional services &amp; other revenue</t>
  </si>
  <si>
    <t xml:space="preserve">Total revenue</t>
  </si>
  <si>
    <t xml:space="preserve">      Subscription mix</t>
  </si>
  <si>
    <t xml:space="preserve">Billings (cash view of the top line)</t>
  </si>
  <si>
    <t xml:space="preserve">   Unearned revenue, year-end</t>
  </si>
  <si>
    <t xml:space="preserve">   Calculated billings = revenue + change in unearned revenue</t>
  </si>
  <si>
    <t xml:space="preserve">      billings growth</t>
  </si>
  <si>
    <t xml:space="preserve">Guidance check (FY2027)</t>
  </si>
  <si>
    <t xml:space="preserve">   FY27 revenue guidance - low / high ($mm)</t>
  </si>
  <si>
    <t xml:space="preserve">   Model FY27E revenue within guidance?</t>
  </si>
  <si>
    <t xml:space="preserve">Salesforce - Income Statement (GAAP)</t>
  </si>
  <si>
    <t xml:space="preserve">Historicals from 8-K earnings releases (Ex. 99.1). Forecast driven by Assumptions and Revenue Build.</t>
  </si>
  <si>
    <t xml:space="preserve">   Cost of revenue - subscription &amp; support</t>
  </si>
  <si>
    <t xml:space="preserve">   Cost of revenue - professional services</t>
  </si>
  <si>
    <t xml:space="preserve">   Total cost of revenue</t>
  </si>
  <si>
    <t xml:space="preserve">Gross profit</t>
  </si>
  <si>
    <t xml:space="preserve">      Gross margin</t>
  </si>
  <si>
    <t xml:space="preserve">   Research &amp; development</t>
  </si>
  <si>
    <t xml:space="preserve">   Sales &amp; marketing</t>
  </si>
  <si>
    <t xml:space="preserve">   General &amp; administrative</t>
  </si>
  <si>
    <t xml:space="preserve">   Restructuring</t>
  </si>
  <si>
    <t xml:space="preserve">   Total operating expenses</t>
  </si>
  <si>
    <t xml:space="preserve">Operating income (GAAP EBIT)</t>
  </si>
  <si>
    <t xml:space="preserve">      GAAP operating margin</t>
  </si>
  <si>
    <t xml:space="preserve">   Gains (losses) on strategic investments</t>
  </si>
  <si>
    <t xml:space="preserve">Not forecast - volatile mark-to-market</t>
  </si>
  <si>
    <t xml:space="preserve">   Interest income (on beginning cash + marketable securities)</t>
  </si>
  <si>
    <t xml:space="preserve">   Interest expense (on average debt)</t>
  </si>
  <si>
    <t xml:space="preserve">   Other income (expense), net</t>
  </si>
  <si>
    <t xml:space="preserve">Pre-tax income</t>
  </si>
  <si>
    <t xml:space="preserve">   Provision for income taxes</t>
  </si>
  <si>
    <t xml:space="preserve">Net income</t>
  </si>
  <si>
    <t xml:space="preserve">      Net margin</t>
  </si>
  <si>
    <t xml:space="preserve">      Effective tax rate</t>
  </si>
  <si>
    <t xml:space="preserve">Diluted EPS (GAAP, $)</t>
  </si>
  <si>
    <t xml:space="preserve">Memo items</t>
  </si>
  <si>
    <t xml:space="preserve">   Stock-based compensation (in opex above)</t>
  </si>
  <si>
    <t xml:space="preserve">   Amortization of acquired intangibles</t>
  </si>
  <si>
    <t xml:space="preserve">   Depreciation (forecast: owned PP&amp;E only; excl. lease ROU amortization)</t>
  </si>
  <si>
    <t xml:space="preserve">   Total D&amp;A</t>
  </si>
  <si>
    <t xml:space="preserve">EBITDA (GAAP EBIT + D&amp;A; SBC treated as expense)</t>
  </si>
  <si>
    <t xml:space="preserve">   Non-GAAP operating income (EBIT + SBC + amortization + restructuring)</t>
  </si>
  <si>
    <t xml:space="preserve">      Non-GAAP operating margin</t>
  </si>
  <si>
    <t xml:space="preserve">Salesforce - Balance Sheet</t>
  </si>
  <si>
    <t xml:space="preserve">FY25A/FY26A from Q4 FY26 release. Some lines combined (current + noncurrent). FY23A/FY24A not shown.</t>
  </si>
  <si>
    <t xml:space="preserve">   Cash &amp; cash equivalents</t>
  </si>
  <si>
    <t xml:space="preserve">   Marketable securities</t>
  </si>
  <si>
    <t xml:space="preserve">   Accounts receivable, net</t>
  </si>
  <si>
    <t xml:space="preserve">   Prepaid expenses &amp; other current assets</t>
  </si>
  <si>
    <t xml:space="preserve">   Capitalized contract costs (current + noncurrent)</t>
  </si>
  <si>
    <t xml:space="preserve">   Property &amp; equipment, net</t>
  </si>
  <si>
    <t xml:space="preserve">   Operating lease right-of-use assets</t>
  </si>
  <si>
    <t xml:space="preserve">   Strategic investments</t>
  </si>
  <si>
    <t xml:space="preserve">   Goodwill</t>
  </si>
  <si>
    <t xml:space="preserve">   Intangible assets acquired, net</t>
  </si>
  <si>
    <t xml:space="preserve">   Deferred tax &amp; other assets</t>
  </si>
  <si>
    <t xml:space="preserve">Total assets</t>
  </si>
  <si>
    <t xml:space="preserve">   AP, accrued expenses &amp; other liabilities</t>
  </si>
  <si>
    <t xml:space="preserve">   Unearned revenue</t>
  </si>
  <si>
    <t xml:space="preserve">   Operating lease liabilities (current + noncurrent)</t>
  </si>
  <si>
    <t xml:space="preserve">   Total debt (current + noncurrent)</t>
  </si>
  <si>
    <t xml:space="preserve">   Other noncurrent liabilities</t>
  </si>
  <si>
    <t xml:space="preserve">Total liabilities</t>
  </si>
  <si>
    <t xml:space="preserve">   Paid-in capital, common stock &amp; AOCI</t>
  </si>
  <si>
    <t xml:space="preserve">   Treasury stock</t>
  </si>
  <si>
    <t xml:space="preserve">   Retained earnings</t>
  </si>
  <si>
    <t xml:space="preserve">Total stockholders' equity</t>
  </si>
  <si>
    <t xml:space="preserve">Total liabilities &amp; equity</t>
  </si>
  <si>
    <t xml:space="preserve">BALANCE CHECK (assets - liabilities - equity; must be 0)</t>
  </si>
  <si>
    <t xml:space="preserve">   Memo: net cash / (net debt) incl. marketable securities</t>
  </si>
  <si>
    <t xml:space="preserve">   Memo: total debt / EBITDA</t>
  </si>
  <si>
    <t xml:space="preserve">Salesforce - Cash Flow Statement</t>
  </si>
  <si>
    <t xml:space="preserve">Historicals show key lines only; 'other operating' is the reconciling item to reported CFO.</t>
  </si>
  <si>
    <t xml:space="preserve">   Net income</t>
  </si>
  <si>
    <t xml:space="preserve">   Depreciation &amp; amortization</t>
  </si>
  <si>
    <t xml:space="preserve">   Stock-based compensation (non-cash add-back)</t>
  </si>
  <si>
    <t xml:space="preserve">   (Increase) / decrease in accounts receivable</t>
  </si>
  <si>
    <t xml:space="preserve">   (Increase) / decrease in prepaid &amp; other</t>
  </si>
  <si>
    <t xml:space="preserve">   (Increase) / decrease in capitalized contract costs</t>
  </si>
  <si>
    <t xml:space="preserve">   Increase / (decrease) in AP &amp; accrued</t>
  </si>
  <si>
    <t xml:space="preserve">   Increase / (decrease) in unearned revenue</t>
  </si>
  <si>
    <t xml:space="preserve">   Other operating items, net (historical reconciling item)</t>
  </si>
  <si>
    <t xml:space="preserve">Cash from operations (CFO)</t>
  </si>
  <si>
    <t xml:space="preserve">      Memo: reported CFO</t>
  </si>
  <si>
    <t xml:space="preserve">   Capital expenditures</t>
  </si>
  <si>
    <t xml:space="preserve">   Acquisitions, net of cash</t>
  </si>
  <si>
    <t xml:space="preserve">   Net (purchases) / sales of investments</t>
  </si>
  <si>
    <t xml:space="preserve">Cash from investing (CFI)</t>
  </si>
  <si>
    <t xml:space="preserve">   Debt issuance</t>
  </si>
  <si>
    <t xml:space="preserve">   Debt repayment</t>
  </si>
  <si>
    <t xml:space="preserve">   Share repurchases</t>
  </si>
  <si>
    <t xml:space="preserve">   Dividends</t>
  </si>
  <si>
    <t xml:space="preserve">   Proceeds from employee stock plans</t>
  </si>
  <si>
    <t xml:space="preserve">Cash from financing (CFF)</t>
  </si>
  <si>
    <t xml:space="preserve">Net change in cash</t>
  </si>
  <si>
    <t xml:space="preserve">   Beginning cash</t>
  </si>
  <si>
    <t xml:space="preserve">Ending cash</t>
  </si>
  <si>
    <t xml:space="preserve">Free cash flow (CFO - capex)</t>
  </si>
  <si>
    <t xml:space="preserve">      FCF margin</t>
  </si>
  <si>
    <t xml:space="preserve">      FCF growth</t>
  </si>
  <si>
    <t xml:space="preserve">   FCF after SBC (treating SBC as a cash cost)</t>
  </si>
  <si>
    <t xml:space="preserve">Salesforce - Unlevered DCF Valuation</t>
  </si>
  <si>
    <t xml:space="preserve">Mid-year convention. FY27 includes only the cash flow after the Jul-31-2026 balance sheet date.</t>
  </si>
  <si>
    <t xml:space="preserve">Market &amp; balance sheet inputs</t>
  </si>
  <si>
    <t xml:space="preserve">   Valuation date</t>
  </si>
  <si>
    <t xml:space="preserve">   Share price ($)</t>
  </si>
  <si>
    <t xml:space="preserve">NYSE close Oct 14, 2026 (stockanalysis.com)</t>
  </si>
  <si>
    <t xml:space="preserve">   Basic shares outstanding (mm)</t>
  </si>
  <si>
    <t xml:space="preserve">Post-ASR; stockanalysis.com Oct 2026</t>
  </si>
  <si>
    <t xml:space="preserve">   Dilutive securities (mm)</t>
  </si>
  <si>
    <t xml:space="preserve">Estimate for RSUs/options (treasury method)</t>
  </si>
  <si>
    <t xml:space="preserve">Diluted shares (mm)</t>
  </si>
  <si>
    <t xml:space="preserve">   Balance sheet date for net debt</t>
  </si>
  <si>
    <t xml:space="preserve">Latest 10-Q: Q2 FY27</t>
  </si>
  <si>
    <t xml:space="preserve">Q2 FY27 balance sheet</t>
  </si>
  <si>
    <t xml:space="preserve">   Strategic investments (book)</t>
  </si>
  <si>
    <t xml:space="preserve">Q2 FY27 balance sheet; mostly private stakes</t>
  </si>
  <si>
    <t xml:space="preserve">   Haircut on strategic investments</t>
  </si>
  <si>
    <t xml:space="preserve">Illiquid private holdings - conservative haircut</t>
  </si>
  <si>
    <t xml:space="preserve">   Total debt</t>
  </si>
  <si>
    <t xml:space="preserve">Q2 FY27: $0 current + $39,288mm noncurrent (post-ASR)</t>
  </si>
  <si>
    <t xml:space="preserve">   Treat SBC as a real cost? (1 = yes, 0 = add back)</t>
  </si>
  <si>
    <t xml:space="preserve">1 = do NOT add SBC back to FCF (conservative, dilution is real). 0 = sell-side style add-back</t>
  </si>
  <si>
    <t xml:space="preserve">Discount rate (WACC)</t>
  </si>
  <si>
    <t xml:space="preserve">   Risk-free rate (10Y UST)</t>
  </si>
  <si>
    <t xml:space="preserve">10Y Treasury ~5.19-5.24%, Oct 9-13, 2026</t>
  </si>
  <si>
    <t xml:space="preserve">   Equity risk premium</t>
  </si>
  <si>
    <t xml:space="preserve">Damodaran-style implied ERP range 4.5-5.5%</t>
  </si>
  <si>
    <t xml:space="preserve">   Levered beta</t>
  </si>
  <si>
    <t xml:space="preserve">5Y monthly beta, stockanalysis.com</t>
  </si>
  <si>
    <t xml:space="preserve">Cost of equity (CAPM)</t>
  </si>
  <si>
    <t xml:space="preserve">   Pre-tax cost of debt</t>
  </si>
  <si>
    <t xml:space="preserve">~Rf + 30bp spread for A-rated issuer</t>
  </si>
  <si>
    <t xml:space="preserve">   Tax rate</t>
  </si>
  <si>
    <t xml:space="preserve">US federal statutory</t>
  </si>
  <si>
    <t xml:space="preserve">   After-tax cost of debt</t>
  </si>
  <si>
    <t xml:space="preserve">   Market value of equity</t>
  </si>
  <si>
    <t xml:space="preserve">   Debt</t>
  </si>
  <si>
    <t xml:space="preserve">   Equity weight</t>
  </si>
  <si>
    <t xml:space="preserve">   Debt weight</t>
  </si>
  <si>
    <t xml:space="preserve">Terminal value inputs</t>
  </si>
  <si>
    <t xml:space="preserve">   Perpetuity growth rate</t>
  </si>
  <si>
    <t xml:space="preserve">Nominal; below long-run nominal GDP</t>
  </si>
  <si>
    <t xml:space="preserve">   Exit EV / EBITDA multiple (on FY31 GAAP EBITDA)</t>
  </si>
  <si>
    <t xml:space="preserve">CRM trades ~17-18x FY27E GAAP EBITDA today; assume some compression by FY31</t>
  </si>
  <si>
    <t xml:space="preserve">   Weight on perpetuity method in blended value</t>
  </si>
  <si>
    <t xml:space="preserve">Unlevered free cash flow ($mm)</t>
  </si>
  <si>
    <t xml:space="preserve">   Fiscal year-end date</t>
  </si>
  <si>
    <t xml:space="preserve">   Revenue</t>
  </si>
  <si>
    <t xml:space="preserve">   EBIT (GAAP, after SBC expense)</t>
  </si>
  <si>
    <t xml:space="preserve">   Less: taxes on EBIT</t>
  </si>
  <si>
    <t xml:space="preserve">NOPAT</t>
  </si>
  <si>
    <t xml:space="preserve">   Plus: D&amp;A</t>
  </si>
  <si>
    <t xml:space="preserve">   Plus: SBC add-back (only if B16 = 0)</t>
  </si>
  <si>
    <t xml:space="preserve">   Less: capex</t>
  </si>
  <si>
    <t xml:space="preserve">   Less: increase in net working capital</t>
  </si>
  <si>
    <t xml:space="preserve">Unlevered free cash flow</t>
  </si>
  <si>
    <t xml:space="preserve">      UFCF margin</t>
  </si>
  <si>
    <t xml:space="preserve">   Fraction of year included</t>
  </si>
  <si>
    <t xml:space="preserve">   UFCF included</t>
  </si>
  <si>
    <t xml:space="preserve">   Discount period (mid-period, years from valuation date)</t>
  </si>
  <si>
    <t xml:space="preserve">   Discount factor</t>
  </si>
  <si>
    <t xml:space="preserve">PV of UFCF</t>
  </si>
  <si>
    <t xml:space="preserve">Terminal value</t>
  </si>
  <si>
    <t xml:space="preserve">   Sum of PV of UFCF</t>
  </si>
  <si>
    <t xml:space="preserve">   Years from valuation date to end of FY31</t>
  </si>
  <si>
    <t xml:space="preserve">   Terminal UFCF (FY31 x (1 + g))</t>
  </si>
  <si>
    <t xml:space="preserve">   Terminal value - perpetuity growth</t>
  </si>
  <si>
    <t xml:space="preserve">   Terminal value - exit multiple</t>
  </si>
  <si>
    <t xml:space="preserve">   PV of terminal value - perpetuity</t>
  </si>
  <si>
    <t xml:space="preserve">   PV of terminal value - exit multiple</t>
  </si>
  <si>
    <t xml:space="preserve">   Implied exit EV/EBITDA from perpetuity method</t>
  </si>
  <si>
    <t xml:space="preserve">   Implied perpetuity growth from exit multiple</t>
  </si>
  <si>
    <t xml:space="preserve">Enterprise value to equity value bridge</t>
  </si>
  <si>
    <t xml:space="preserve">Perpetuity</t>
  </si>
  <si>
    <t xml:space="preserve">Exit multiple</t>
  </si>
  <si>
    <t xml:space="preserve">Blended</t>
  </si>
  <si>
    <t xml:space="preserve">Enterprise value</t>
  </si>
  <si>
    <t xml:space="preserve">   Plus: cash &amp; equivalents</t>
  </si>
  <si>
    <t xml:space="preserve">   Plus: marketable securities</t>
  </si>
  <si>
    <t xml:space="preserve">   Plus: strategic investments (after haircut)</t>
  </si>
  <si>
    <t xml:space="preserve">   Less: total debt</t>
  </si>
  <si>
    <t xml:space="preserve">Equity value</t>
  </si>
  <si>
    <t xml:space="preserve">Implied value per share ($)</t>
  </si>
  <si>
    <t xml:space="preserve">   Current share price ($)</t>
  </si>
  <si>
    <t xml:space="preserve">   Upside / (downside)</t>
  </si>
  <si>
    <t xml:space="preserve">   Terminal value as % of EV</t>
  </si>
  <si>
    <t xml:space="preserve">Sensitivity: value per share - perpetuity growth method</t>
  </si>
  <si>
    <t xml:space="preserve">WACC (down) / growth (across)</t>
  </si>
  <si>
    <t xml:space="preserve">Sensitivity: value per share - exit multiple method</t>
  </si>
  <si>
    <t xml:space="preserve">WACC (down) / exit multiple (across)</t>
  </si>
  <si>
    <t xml:space="preserve">Sources</t>
  </si>
  <si>
    <t xml:space="preserve">FY2026 &amp; FY2025 financial statements, RPO, FY27 initial guidance</t>
  </si>
  <si>
    <t xml:space="preserve">Salesforce Q4 FY26 earnings release, 8-K Ex. 99.1 (Feb 25, 2026): https://www.sec.gov/Archives/edgar/data/1108524/000110852426000056/crm-q4fy26xexhibit991.htm</t>
  </si>
  <si>
    <t xml:space="preserve">FY2024 &amp; FY2023 financial statements, RPO</t>
  </si>
  <si>
    <t xml:space="preserve">Salesforce Q4 FY24 earnings release, 8-K Ex. 99.1 (Feb 28, 2024): https://www.sec.gov/Archives/edgar/data/1108524/000110852424000002/crm-q4fy24xexhibit991.htm</t>
  </si>
  <si>
    <t xml:space="preserve">Q2 FY27 balance sheet (Jul 31, 2026), ASR, debt, raised FY27 guidance</t>
  </si>
  <si>
    <t xml:space="preserve">Salesforce Q2 FY27 earnings release (Aug 26, 2026): https://investor.salesforce.com/files/doc_financials/2027/q2/CRM-Q2-FY27-Earnings-Press-Release.pdf</t>
  </si>
  <si>
    <t xml:space="preserve">Share price, shares outstanding, beta</t>
  </si>
  <si>
    <t xml:space="preserve">stockanalysis.com/stocks/crm (close Oct 14, 2026)</t>
  </si>
  <si>
    <t xml:space="preserve">10-year Treasury yield</t>
  </si>
  <si>
    <t xml:space="preserve">themortgagereports.com (Oct 13, 2026: 5.19%); etfdb.com (Oct 9, 2026: 5.24%)</t>
  </si>
  <si>
    <t xml:space="preserve">Combined balance sheet lines</t>
  </si>
  <si>
    <t xml:space="preserve">Capitalized contract costs, operating lease liabilities and debt combine current + noncurrent. 'Paid-in capital, common stock &amp; AOCI' = common stock + APIC + AOCI.</t>
  </si>
  <si>
    <t xml:space="preserve">Not verified from primary source</t>
  </si>
  <si>
    <t xml:space="preserve">Strategic-investment haircut, ERP, cost of debt, dilutive securities and all forecast drivers are analyst judgment - change them on Assumptions / DCF.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</si>
</sst>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.00;&quot;($&quot;#,##0.00\);\-"/>
    <numFmt numFmtId="166" formatCode="0.0%;\(0.0%\);\-"/>
    <numFmt numFmtId="167" formatCode="#,##0;\(#,##0\);\-"/>
    <numFmt numFmtId="168" formatCode="\$#,##0.00"/>
    <numFmt numFmtId="169" formatCode="0.0%;\(0.0%\)"/>
    <numFmt numFmtId="170" formatCode="#,##0"/>
    <numFmt numFmtId="171" formatCode="0.0%"/>
    <numFmt numFmtId="172" formatCode="0"/>
    <numFmt numFmtId="173" formatCode="0.00\x"/>
    <numFmt numFmtId="174" formatCode="#,##0.000;\(#,##0.000\);&quot;OK&quot;"/>
    <numFmt numFmtId="175" formatCode="0.0\x"/>
    <numFmt numFmtId="176" formatCode="mmm\ d&quot;, &quot;yyyy"/>
    <numFmt numFmtId="177" formatCode="0.00"/>
    <numFmt numFmtId="178" formatCode="0.000"/>
    <numFmt numFmtId="179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5" min="2" style="1" width="16"/>
  </cols>
  <sheetData>
    <row r="1" customFormat="false" ht="17.25" hidden="false" customHeight="true" outlineLevel="0" collapsed="false">
      <c r="A1" s="2" t="s">
        <v>0</v>
      </c>
      <c r="B1" s="3"/>
      <c r="C1" s="3"/>
      <c r="D1" s="3"/>
    </row>
    <row r="2" customFormat="false" ht="15" hidden="false" customHeight="true" outlineLevel="0" collapsed="false">
      <c r="A2" s="4" t="s">
        <v>1</v>
      </c>
      <c r="B2" s="3"/>
      <c r="C2" s="3"/>
      <c r="D2" s="3"/>
    </row>
    <row r="3" customFormat="false" ht="15" hidden="false" customHeight="tru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5" t="s">
        <v>2</v>
      </c>
      <c r="B4" s="6"/>
      <c r="C4" s="6"/>
      <c r="D4" s="6"/>
    </row>
    <row r="5" customFormat="false" ht="15" hidden="false" customHeight="true" outlineLevel="0" collapsed="false">
      <c r="A5" s="7" t="s">
        <v>3</v>
      </c>
      <c r="B5" s="8" t="str">
        <f aca="false">Assumptions!C4</f>
        <v>Base</v>
      </c>
      <c r="C5" s="3"/>
      <c r="D5" s="3"/>
    </row>
    <row r="6" customFormat="false" ht="15" hidden="false" customHeight="true" outlineLevel="0" collapsed="false">
      <c r="A6" s="7" t="s">
        <v>4</v>
      </c>
      <c r="B6" s="9" t="n">
        <f aca="false">DCF!D74</f>
        <v>230.364412252662</v>
      </c>
      <c r="C6" s="3"/>
      <c r="D6" s="3"/>
    </row>
    <row r="7" customFormat="false" ht="15" hidden="false" customHeight="true" outlineLevel="0" collapsed="false">
      <c r="A7" s="7" t="s">
        <v>5</v>
      </c>
      <c r="B7" s="9" t="n">
        <f aca="false">DCF!B74</f>
        <v>199.124756574782</v>
      </c>
      <c r="C7" s="3"/>
      <c r="D7" s="3"/>
    </row>
    <row r="8" customFormat="false" ht="15" hidden="false" customHeight="true" outlineLevel="0" collapsed="false">
      <c r="A8" s="7" t="s">
        <v>6</v>
      </c>
      <c r="B8" s="9" t="n">
        <f aca="false">DCF!C74</f>
        <v>261.604067930543</v>
      </c>
      <c r="C8" s="3"/>
      <c r="D8" s="3"/>
    </row>
    <row r="9" customFormat="false" ht="15" hidden="false" customHeight="true" outlineLevel="0" collapsed="false">
      <c r="A9" s="7" t="s">
        <v>7</v>
      </c>
      <c r="B9" s="9" t="n">
        <f aca="false">DCF!B6</f>
        <v>235.95</v>
      </c>
      <c r="C9" s="3"/>
      <c r="D9" s="3"/>
    </row>
    <row r="10" customFormat="false" ht="15" hidden="false" customHeight="true" outlineLevel="0" collapsed="false">
      <c r="A10" s="7" t="s">
        <v>8</v>
      </c>
      <c r="B10" s="10" t="n">
        <f aca="false">DCF!D76</f>
        <v>-0.0236727601073857</v>
      </c>
      <c r="C10" s="3"/>
      <c r="D10" s="3"/>
    </row>
    <row r="11" customFormat="false" ht="15" hidden="false" customHeight="true" outlineLevel="0" collapsed="false">
      <c r="A11" s="7" t="s">
        <v>9</v>
      </c>
      <c r="B11" s="10" t="n">
        <f aca="false">DCF!B30</f>
        <v>0.103044493496054</v>
      </c>
      <c r="C11" s="3"/>
      <c r="D11" s="3"/>
    </row>
    <row r="12" customFormat="false" ht="15" hidden="false" customHeight="true" outlineLevel="0" collapsed="false">
      <c r="A12" s="7" t="s">
        <v>10</v>
      </c>
      <c r="B12" s="11" t="n">
        <f aca="false">IS!F7</f>
        <v>46214.96</v>
      </c>
      <c r="C12" s="8" t="str">
        <f aca="false">'Revenue Build'!B29</f>
        <v>YES</v>
      </c>
      <c r="D12" s="3"/>
    </row>
    <row r="13" customFormat="false" ht="15" hidden="false" customHeight="true" outlineLevel="0" collapsed="false">
      <c r="A13" s="7" t="s">
        <v>11</v>
      </c>
      <c r="B13" s="11" t="n">
        <f aca="false">IS!J7</f>
        <v>67037.0190427616</v>
      </c>
      <c r="C13" s="3"/>
      <c r="D13" s="3"/>
    </row>
    <row r="14" customFormat="false" ht="15" hidden="false" customHeight="true" outlineLevel="0" collapsed="false">
      <c r="A14" s="7" t="s">
        <v>12</v>
      </c>
      <c r="B14" s="10" t="n">
        <f aca="false">(IS!J7/IS!E7)^(1/5)-1</f>
        <v>0.100527782343619</v>
      </c>
      <c r="C14" s="3"/>
      <c r="D14" s="3"/>
    </row>
    <row r="15" customFormat="false" ht="15" hidden="false" customHeight="true" outlineLevel="0" collapsed="false">
      <c r="A15" s="7" t="s">
        <v>13</v>
      </c>
      <c r="B15" s="10" t="n">
        <f aca="false">IS!J22</f>
        <v>0.24890527262271</v>
      </c>
      <c r="C15" s="3"/>
      <c r="D15" s="3"/>
    </row>
    <row r="16" customFormat="false" ht="15" hidden="false" customHeight="true" outlineLevel="0" collapsed="false">
      <c r="A16" s="7" t="s">
        <v>14</v>
      </c>
      <c r="B16" s="10" t="n">
        <f aca="false">IS!J44</f>
        <v>0.344587595126811</v>
      </c>
      <c r="C16" s="3"/>
      <c r="D16" s="3"/>
    </row>
    <row r="17" customFormat="false" ht="15" hidden="false" customHeight="true" outlineLevel="0" collapsed="false">
      <c r="A17" s="7" t="s">
        <v>15</v>
      </c>
      <c r="B17" s="11" t="n">
        <f aca="false">CF!J32</f>
        <v>20151.7579046945</v>
      </c>
      <c r="C17" s="3"/>
      <c r="D17" s="3"/>
    </row>
    <row r="18" customFormat="false" ht="15" hidden="false" customHeight="true" outlineLevel="0" collapsed="false">
      <c r="A18" s="3"/>
      <c r="B18" s="3"/>
      <c r="C18" s="3"/>
      <c r="D18" s="3"/>
    </row>
    <row r="19" customFormat="false" ht="15" hidden="false" customHeight="true" outlineLevel="0" collapsed="false">
      <c r="A19" s="5" t="s">
        <v>16</v>
      </c>
      <c r="B19" s="6"/>
      <c r="C19" s="6"/>
      <c r="D19" s="6"/>
    </row>
    <row r="20" customFormat="false" ht="15" hidden="false" customHeight="true" outlineLevel="0" collapsed="false">
      <c r="A20" s="7" t="s">
        <v>17</v>
      </c>
      <c r="B20" s="12" t="str">
        <f aca="false">IF(SUMPRODUCT(ABS(BS!D31:J31))&lt;0.01,"OK","ERROR")</f>
        <v>OK</v>
      </c>
      <c r="C20" s="3"/>
      <c r="D20" s="3"/>
    </row>
    <row r="21" customFormat="false" ht="15" hidden="false" customHeight="true" outlineLevel="0" collapsed="false">
      <c r="A21" s="7" t="s">
        <v>18</v>
      </c>
      <c r="B21" s="12" t="str">
        <f aca="false">IF(MIN(BS!F5:J5)&gt;0,"OK","NEGATIVE CASH")</f>
        <v>OK</v>
      </c>
      <c r="C21" s="3"/>
      <c r="D21" s="3"/>
    </row>
    <row r="22" customFormat="false" ht="15" hidden="false" customHeight="true" outlineLevel="0" collapsed="false">
      <c r="A22" s="7" t="s">
        <v>19</v>
      </c>
      <c r="B22" s="12" t="str">
        <f aca="false">IF(SUMPRODUCT(ABS(CF!B14:E14-CF!B15:E15))&lt;0.01,"OK","ERROR")</f>
        <v>OK</v>
      </c>
      <c r="C22" s="3"/>
      <c r="D22" s="3"/>
    </row>
    <row r="23" customFormat="false" ht="15" hidden="false" customHeight="true" outlineLevel="0" collapsed="false">
      <c r="A23" s="7" t="s">
        <v>20</v>
      </c>
      <c r="B23" s="12" t="str">
        <f aca="false">IF(DCF!B30&gt;DCF!B33,"OK","ERROR")</f>
        <v>OK</v>
      </c>
      <c r="C23" s="3"/>
      <c r="D23" s="3"/>
    </row>
    <row r="24" customFormat="false" ht="15" hidden="false" customHeight="true" outlineLevel="0" collapsed="false">
      <c r="A24" s="3"/>
      <c r="B24" s="3"/>
      <c r="C24" s="3"/>
      <c r="D24" s="3"/>
    </row>
    <row r="25" customFormat="false" ht="15" hidden="false" customHeight="true" outlineLevel="0" collapsed="false">
      <c r="A25" s="5" t="s">
        <v>21</v>
      </c>
      <c r="B25" s="6"/>
      <c r="C25" s="6"/>
      <c r="D25" s="6"/>
    </row>
    <row r="26" customFormat="false" ht="15" hidden="false" customHeight="true" outlineLevel="0" collapsed="false">
      <c r="A26" s="3"/>
      <c r="B26" s="13" t="s">
        <v>22</v>
      </c>
      <c r="C26" s="13" t="s">
        <v>23</v>
      </c>
      <c r="D26" s="13" t="s">
        <v>24</v>
      </c>
    </row>
    <row r="27" customFormat="false" ht="15" hidden="false" customHeight="true" outlineLevel="0" collapsed="false">
      <c r="A27" s="7" t="s">
        <v>25</v>
      </c>
      <c r="B27" s="14" t="n">
        <v>179.9113</v>
      </c>
      <c r="C27" s="14" t="n">
        <v>230.3644</v>
      </c>
      <c r="D27" s="14" t="n">
        <v>265.0172</v>
      </c>
    </row>
    <row r="28" customFormat="false" ht="15" hidden="false" customHeight="true" outlineLevel="0" collapsed="false">
      <c r="A28" s="7" t="s">
        <v>26</v>
      </c>
      <c r="B28" s="15" t="n">
        <v>-0.2375</v>
      </c>
      <c r="C28" s="15" t="n">
        <v>-0.0237</v>
      </c>
      <c r="D28" s="15" t="n">
        <v>0.1232</v>
      </c>
    </row>
    <row r="29" customFormat="false" ht="15" hidden="false" customHeight="true" outlineLevel="0" collapsed="false">
      <c r="A29" s="7" t="s">
        <v>27</v>
      </c>
      <c r="B29" s="16" t="n">
        <v>58522.135</v>
      </c>
      <c r="C29" s="16" t="n">
        <v>67037.019</v>
      </c>
      <c r="D29" s="16" t="n">
        <v>72624.805</v>
      </c>
    </row>
    <row r="30" customFormat="false" ht="15" hidden="false" customHeight="true" outlineLevel="0" collapsed="false">
      <c r="A30" s="7" t="s">
        <v>13</v>
      </c>
      <c r="B30" s="17" t="n">
        <v>0.2241</v>
      </c>
      <c r="C30" s="17" t="n">
        <v>0.2489</v>
      </c>
      <c r="D30" s="17" t="n">
        <v>0.2642</v>
      </c>
    </row>
    <row r="31" customFormat="false" ht="15" hidden="false" customHeight="true" outlineLevel="0" collapsed="false">
      <c r="A31" s="7" t="s">
        <v>28</v>
      </c>
      <c r="B31" s="16" t="n">
        <v>15916.5477</v>
      </c>
      <c r="C31" s="16" t="n">
        <v>20151.7579</v>
      </c>
      <c r="D31" s="16" t="n">
        <v>23023.826</v>
      </c>
    </row>
    <row r="32" customFormat="false" ht="15" hidden="false" customHeight="true" outlineLevel="0" collapsed="false">
      <c r="A32" s="4" t="s">
        <v>29</v>
      </c>
      <c r="B32" s="3"/>
      <c r="C32" s="3"/>
      <c r="D32" s="3"/>
    </row>
    <row r="33" customFormat="false" ht="15" hidden="false" customHeight="true" outlineLevel="0" collapsed="false">
      <c r="A33" s="3"/>
      <c r="B33" s="3"/>
      <c r="C33" s="3"/>
      <c r="D33" s="3"/>
    </row>
    <row r="34" customFormat="false" ht="15" hidden="false" customHeight="true" outlineLevel="0" collapsed="false">
      <c r="A34" s="5" t="s">
        <v>30</v>
      </c>
      <c r="B34" s="6"/>
      <c r="C34" s="6"/>
      <c r="D34" s="6"/>
    </row>
    <row r="35" customFormat="false" ht="15" hidden="false" customHeight="true" outlineLevel="0" collapsed="false">
      <c r="A35" s="7" t="s">
        <v>31</v>
      </c>
      <c r="B35" s="3"/>
      <c r="C35" s="3"/>
      <c r="D35" s="3"/>
    </row>
    <row r="36" customFormat="false" ht="15" hidden="false" customHeight="true" outlineLevel="0" collapsed="false">
      <c r="A36" s="7" t="s">
        <v>32</v>
      </c>
      <c r="B36" s="3"/>
      <c r="C36" s="3"/>
      <c r="D36" s="3"/>
    </row>
    <row r="37" customFormat="false" ht="15" hidden="false" customHeight="true" outlineLevel="0" collapsed="false">
      <c r="A37" s="7" t="s">
        <v>33</v>
      </c>
      <c r="B37" s="3"/>
      <c r="C37" s="3"/>
      <c r="D37" s="3"/>
    </row>
    <row r="38" customFormat="false" ht="15" hidden="false" customHeight="true" outlineLevel="0" collapsed="false">
      <c r="A38" s="7" t="s">
        <v>34</v>
      </c>
      <c r="B38" s="3"/>
      <c r="C38" s="3"/>
      <c r="D38" s="3"/>
    </row>
    <row r="39" customFormat="false" ht="15" hidden="false" customHeight="true" outlineLevel="0" collapsed="false">
      <c r="A39" s="7" t="s">
        <v>35</v>
      </c>
      <c r="B39" s="3"/>
      <c r="C39" s="3"/>
      <c r="D39" s="3"/>
    </row>
    <row r="40" customFormat="false" ht="15" hidden="false" customHeight="true" outlineLevel="0" collapsed="false">
      <c r="A40" s="7" t="s">
        <v>36</v>
      </c>
      <c r="B40" s="3"/>
      <c r="C40" s="3"/>
      <c r="D4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0" min="2" style="1" width="12.5"/>
    <col collapsed="false" customWidth="true" hidden="false" outlineLevel="0" max="11" min="11" style="1" width="70"/>
  </cols>
  <sheetData>
    <row r="1" customFormat="false" ht="17.25" hidden="false" customHeight="true" outlineLevel="0" collapsed="false">
      <c r="A1" s="2" t="s">
        <v>37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4" t="s">
        <v>38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18" t="s">
        <v>39</v>
      </c>
      <c r="B4" s="19" t="n">
        <v>2</v>
      </c>
      <c r="C4" s="12" t="str">
        <f aca="false">CHOOSE($B$4,"Downside","Base","Upside")</f>
        <v>Base</v>
      </c>
      <c r="D4" s="3"/>
      <c r="E4" s="3"/>
      <c r="F4" s="3"/>
      <c r="G4" s="3"/>
      <c r="H4" s="3"/>
      <c r="I4" s="3"/>
      <c r="J4" s="3"/>
      <c r="K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true" outlineLevel="0" collapsed="false">
      <c r="A6" s="5" t="s">
        <v>40</v>
      </c>
      <c r="B6" s="20"/>
      <c r="C6" s="20"/>
      <c r="D6" s="20"/>
      <c r="E6" s="20"/>
      <c r="F6" s="20" t="s">
        <v>41</v>
      </c>
      <c r="G6" s="20" t="s">
        <v>42</v>
      </c>
      <c r="H6" s="20" t="s">
        <v>43</v>
      </c>
      <c r="I6" s="20" t="s">
        <v>44</v>
      </c>
      <c r="J6" s="20" t="s">
        <v>45</v>
      </c>
      <c r="K6" s="5" t="s">
        <v>46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15" hidden="false" customHeight="true" outlineLevel="0" collapsed="false">
      <c r="A9" s="21" t="s">
        <v>47</v>
      </c>
      <c r="B9" s="22"/>
      <c r="C9" s="22"/>
      <c r="D9" s="22"/>
      <c r="E9" s="22"/>
      <c r="F9" s="22"/>
      <c r="G9" s="22"/>
      <c r="H9" s="22"/>
      <c r="I9" s="22"/>
      <c r="J9" s="22"/>
      <c r="K9" s="3"/>
    </row>
    <row r="10" customFormat="false" ht="15" hidden="false" customHeight="true" outlineLevel="0" collapsed="false">
      <c r="A10" s="7" t="s">
        <v>48</v>
      </c>
      <c r="B10" s="3"/>
      <c r="C10" s="3"/>
      <c r="D10" s="3"/>
      <c r="E10" s="3"/>
      <c r="F10" s="23" t="n">
        <v>0.09</v>
      </c>
      <c r="G10" s="23" t="n">
        <v>0.07</v>
      </c>
      <c r="H10" s="23" t="n">
        <v>0.06</v>
      </c>
      <c r="I10" s="23" t="n">
        <v>0.05</v>
      </c>
      <c r="J10" s="23" t="n">
        <v>0.045</v>
      </c>
      <c r="K10" s="3"/>
    </row>
    <row r="11" customFormat="false" ht="15" hidden="false" customHeight="true" outlineLevel="0" collapsed="false">
      <c r="A11" s="7" t="s">
        <v>49</v>
      </c>
      <c r="B11" s="3"/>
      <c r="C11" s="3"/>
      <c r="D11" s="3"/>
      <c r="E11" s="3"/>
      <c r="F11" s="23" t="n">
        <v>0.12</v>
      </c>
      <c r="G11" s="23" t="n">
        <v>0.105</v>
      </c>
      <c r="H11" s="23" t="n">
        <v>0.1</v>
      </c>
      <c r="I11" s="23" t="n">
        <v>0.09</v>
      </c>
      <c r="J11" s="23" t="n">
        <v>0.08</v>
      </c>
      <c r="K11" s="4" t="s">
        <v>50</v>
      </c>
    </row>
    <row r="12" customFormat="false" ht="15" hidden="false" customHeight="true" outlineLevel="0" collapsed="false">
      <c r="A12" s="7" t="s">
        <v>51</v>
      </c>
      <c r="B12" s="3"/>
      <c r="C12" s="3"/>
      <c r="D12" s="3"/>
      <c r="E12" s="3"/>
      <c r="F12" s="23" t="n">
        <v>0.14</v>
      </c>
      <c r="G12" s="23" t="n">
        <v>0.13</v>
      </c>
      <c r="H12" s="23" t="n">
        <v>0.12</v>
      </c>
      <c r="I12" s="23" t="n">
        <v>0.11</v>
      </c>
      <c r="J12" s="23" t="n">
        <v>0.1</v>
      </c>
      <c r="K12" s="3"/>
    </row>
    <row r="13" customFormat="false" ht="15" hidden="false" customHeight="true" outlineLevel="0" collapsed="false">
      <c r="A13" s="18" t="s">
        <v>52</v>
      </c>
      <c r="B13" s="3"/>
      <c r="C13" s="3"/>
      <c r="D13" s="3"/>
      <c r="E13" s="3"/>
      <c r="F13" s="24" t="n">
        <f aca="false">CHOOSE($B$4,F10,F11,F12)</f>
        <v>0.12</v>
      </c>
      <c r="G13" s="24" t="n">
        <f aca="false">CHOOSE($B$4,G10,G11,G12)</f>
        <v>0.105</v>
      </c>
      <c r="H13" s="24" t="n">
        <f aca="false">CHOOSE($B$4,H10,H11,H12)</f>
        <v>0.1</v>
      </c>
      <c r="I13" s="24" t="n">
        <f aca="false">CHOOSE($B$4,I10,I11,I12)</f>
        <v>0.09</v>
      </c>
      <c r="J13" s="24" t="n">
        <f aca="false">CHOOSE($B$4,J10,J11,J12)</f>
        <v>0.08</v>
      </c>
      <c r="K13" s="3"/>
    </row>
    <row r="14" customFormat="false" ht="15" hidden="false" customHeight="true" outlineLevel="0" collapsed="false">
      <c r="A14" s="7" t="s">
        <v>53</v>
      </c>
      <c r="B14" s="3"/>
      <c r="C14" s="3"/>
      <c r="D14" s="3"/>
      <c r="E14" s="3"/>
      <c r="F14" s="25" t="n">
        <v>1.257</v>
      </c>
      <c r="G14" s="25" t="n">
        <v>1.255</v>
      </c>
      <c r="H14" s="25" t="n">
        <v>1.25</v>
      </c>
      <c r="I14" s="25" t="n">
        <v>1.25</v>
      </c>
      <c r="J14" s="25" t="n">
        <v>1.25</v>
      </c>
      <c r="K14" s="4" t="s">
        <v>54</v>
      </c>
    </row>
    <row r="15" customFormat="false" ht="15" hidden="false" customHeight="true" outlineLevel="0" collapsed="false">
      <c r="A15" s="7" t="s">
        <v>55</v>
      </c>
      <c r="B15" s="3"/>
      <c r="C15" s="3"/>
      <c r="D15" s="3"/>
      <c r="E15" s="3"/>
      <c r="F15" s="26" t="n">
        <v>0.485</v>
      </c>
      <c r="G15" s="26" t="n">
        <v>0.485</v>
      </c>
      <c r="H15" s="26" t="n">
        <v>0.485</v>
      </c>
      <c r="I15" s="26" t="n">
        <v>0.485</v>
      </c>
      <c r="J15" s="26" t="n">
        <v>0.485</v>
      </c>
      <c r="K15" s="4" t="s">
        <v>56</v>
      </c>
    </row>
    <row r="16" customFormat="false" ht="15" hidden="false" customHeight="true" outlineLevel="0" collapsed="false">
      <c r="A16" s="7" t="s">
        <v>57</v>
      </c>
      <c r="B16" s="3"/>
      <c r="C16" s="3"/>
      <c r="D16" s="3"/>
      <c r="E16" s="3"/>
      <c r="F16" s="26" t="n">
        <v>-0.06</v>
      </c>
      <c r="G16" s="26" t="n">
        <v>-0.06</v>
      </c>
      <c r="H16" s="26" t="n">
        <v>-0.06</v>
      </c>
      <c r="I16" s="26" t="n">
        <v>-0.06</v>
      </c>
      <c r="J16" s="26" t="n">
        <v>-0.06</v>
      </c>
      <c r="K16" s="3"/>
    </row>
    <row r="17" customFormat="false" ht="15" hidden="false" customHeight="true" outlineLevel="0" collapsed="false">
      <c r="A17" s="7" t="s">
        <v>58</v>
      </c>
      <c r="B17" s="3"/>
      <c r="C17" s="3"/>
      <c r="D17" s="3"/>
      <c r="E17" s="3"/>
      <c r="F17" s="26" t="n">
        <v>-0.02</v>
      </c>
      <c r="G17" s="26" t="n">
        <v>-0.02</v>
      </c>
      <c r="H17" s="26" t="n">
        <v>-0.02</v>
      </c>
      <c r="I17" s="26" t="n">
        <v>-0.02</v>
      </c>
      <c r="J17" s="26" t="n">
        <v>-0.02</v>
      </c>
      <c r="K17" s="4" t="s">
        <v>59</v>
      </c>
    </row>
    <row r="18" customFormat="false" ht="15" hidden="false" customHeight="true" outlineLevel="0" collapsed="false">
      <c r="A18" s="7" t="s">
        <v>60</v>
      </c>
      <c r="B18" s="3"/>
      <c r="C18" s="3"/>
      <c r="D18" s="3"/>
      <c r="E18" s="3"/>
      <c r="F18" s="26" t="n">
        <v>0.02</v>
      </c>
      <c r="G18" s="26" t="n">
        <v>0.02</v>
      </c>
      <c r="H18" s="26" t="n">
        <v>0.02</v>
      </c>
      <c r="I18" s="26" t="n">
        <v>0.02</v>
      </c>
      <c r="J18" s="26" t="n">
        <v>0.02</v>
      </c>
      <c r="K18" s="3"/>
    </row>
    <row r="19" customFormat="false" ht="15" hidden="false" customHeight="true" outlineLevel="0" collapsed="false">
      <c r="A19" s="18" t="s">
        <v>61</v>
      </c>
      <c r="B19" s="3"/>
      <c r="C19" s="3"/>
      <c r="D19" s="3"/>
      <c r="E19" s="3"/>
      <c r="F19" s="24" t="n">
        <f aca="false">CHOOSE($B$4,F16,F17,F18)</f>
        <v>-0.02</v>
      </c>
      <c r="G19" s="24" t="n">
        <f aca="false">CHOOSE($B$4,G16,G17,G18)</f>
        <v>-0.02</v>
      </c>
      <c r="H19" s="24" t="n">
        <f aca="false">CHOOSE($B$4,H16,H17,H18)</f>
        <v>-0.02</v>
      </c>
      <c r="I19" s="24" t="n">
        <f aca="false">CHOOSE($B$4,I16,I17,I18)</f>
        <v>-0.02</v>
      </c>
      <c r="J19" s="24" t="n">
        <f aca="false">CHOOSE($B$4,J16,J17,J18)</f>
        <v>-0.02</v>
      </c>
      <c r="K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21" t="s">
        <v>62</v>
      </c>
      <c r="B21" s="22"/>
      <c r="C21" s="22"/>
      <c r="D21" s="22"/>
      <c r="E21" s="22"/>
      <c r="F21" s="22"/>
      <c r="G21" s="22"/>
      <c r="H21" s="22"/>
      <c r="I21" s="22"/>
      <c r="J21" s="22"/>
      <c r="K21" s="3"/>
    </row>
    <row r="22" customFormat="false" ht="15" hidden="false" customHeight="true" outlineLevel="0" collapsed="false">
      <c r="A22" s="7" t="s">
        <v>63</v>
      </c>
      <c r="B22" s="3"/>
      <c r="C22" s="3"/>
      <c r="D22" s="3"/>
      <c r="E22" s="3"/>
      <c r="F22" s="26" t="n">
        <v>0.185</v>
      </c>
      <c r="G22" s="26" t="n">
        <v>0.185</v>
      </c>
      <c r="H22" s="26" t="n">
        <v>0.185</v>
      </c>
      <c r="I22" s="26" t="n">
        <v>0.185</v>
      </c>
      <c r="J22" s="26" t="n">
        <v>0.185</v>
      </c>
      <c r="K22" s="4" t="s">
        <v>64</v>
      </c>
    </row>
    <row r="23" customFormat="false" ht="15" hidden="false" customHeight="true" outlineLevel="0" collapsed="false">
      <c r="A23" s="7" t="s">
        <v>65</v>
      </c>
      <c r="B23" s="3"/>
      <c r="C23" s="3"/>
      <c r="D23" s="3"/>
      <c r="E23" s="3"/>
      <c r="F23" s="26" t="n">
        <v>0.175</v>
      </c>
      <c r="G23" s="26" t="n">
        <v>0.175</v>
      </c>
      <c r="H23" s="26" t="n">
        <v>0.175</v>
      </c>
      <c r="I23" s="26" t="n">
        <v>0.175</v>
      </c>
      <c r="J23" s="26" t="n">
        <v>0.175</v>
      </c>
      <c r="K23" s="4" t="s">
        <v>66</v>
      </c>
    </row>
    <row r="24" customFormat="false" ht="15" hidden="false" customHeight="true" outlineLevel="0" collapsed="false">
      <c r="A24" s="7" t="s">
        <v>67</v>
      </c>
      <c r="B24" s="3"/>
      <c r="C24" s="3"/>
      <c r="D24" s="3"/>
      <c r="E24" s="3"/>
      <c r="F24" s="26" t="n">
        <v>0.17</v>
      </c>
      <c r="G24" s="26" t="n">
        <v>0.17</v>
      </c>
      <c r="H24" s="26" t="n">
        <v>0.17</v>
      </c>
      <c r="I24" s="26" t="n">
        <v>0.17</v>
      </c>
      <c r="J24" s="26" t="n">
        <v>0.17</v>
      </c>
      <c r="K24" s="3"/>
    </row>
    <row r="25" customFormat="false" ht="15" hidden="false" customHeight="true" outlineLevel="0" collapsed="false">
      <c r="A25" s="18" t="s">
        <v>68</v>
      </c>
      <c r="B25" s="3"/>
      <c r="C25" s="3"/>
      <c r="D25" s="3"/>
      <c r="E25" s="3"/>
      <c r="F25" s="24" t="n">
        <f aca="false">CHOOSE($B$4,F22,F23,F24)</f>
        <v>0.175</v>
      </c>
      <c r="G25" s="24" t="n">
        <f aca="false">CHOOSE($B$4,G22,G23,G24)</f>
        <v>0.175</v>
      </c>
      <c r="H25" s="24" t="n">
        <f aca="false">CHOOSE($B$4,H22,H23,H24)</f>
        <v>0.175</v>
      </c>
      <c r="I25" s="24" t="n">
        <f aca="false">CHOOSE($B$4,I22,I23,I24)</f>
        <v>0.175</v>
      </c>
      <c r="J25" s="24" t="n">
        <f aca="false">CHOOSE($B$4,J22,J23,J24)</f>
        <v>0.175</v>
      </c>
      <c r="K25" s="3"/>
    </row>
    <row r="26" customFormat="false" ht="15" hidden="false" customHeight="true" outlineLevel="0" collapsed="false">
      <c r="A26" s="7" t="s">
        <v>69</v>
      </c>
      <c r="B26" s="3"/>
      <c r="C26" s="3"/>
      <c r="D26" s="3"/>
      <c r="E26" s="3"/>
      <c r="F26" s="26" t="n">
        <v>1.15</v>
      </c>
      <c r="G26" s="26" t="n">
        <v>1.15</v>
      </c>
      <c r="H26" s="26" t="n">
        <v>1.15</v>
      </c>
      <c r="I26" s="26" t="n">
        <v>1.15</v>
      </c>
      <c r="J26" s="26" t="n">
        <v>1.15</v>
      </c>
      <c r="K26" s="4" t="s">
        <v>70</v>
      </c>
    </row>
    <row r="27" customFormat="false" ht="15" hidden="false" customHeight="true" outlineLevel="0" collapsed="false">
      <c r="A27" s="7" t="s">
        <v>71</v>
      </c>
      <c r="B27" s="3"/>
      <c r="C27" s="3"/>
      <c r="D27" s="3"/>
      <c r="E27" s="3"/>
      <c r="F27" s="26" t="n">
        <v>0.148</v>
      </c>
      <c r="G27" s="26" t="n">
        <v>0.148</v>
      </c>
      <c r="H27" s="26" t="n">
        <v>0.148</v>
      </c>
      <c r="I27" s="26" t="n">
        <v>0.148</v>
      </c>
      <c r="J27" s="26" t="n">
        <v>0.148</v>
      </c>
      <c r="K27" s="4" t="s">
        <v>72</v>
      </c>
    </row>
    <row r="28" customFormat="false" ht="15" hidden="false" customHeight="true" outlineLevel="0" collapsed="false">
      <c r="A28" s="7" t="s">
        <v>73</v>
      </c>
      <c r="B28" s="3"/>
      <c r="C28" s="3"/>
      <c r="D28" s="3"/>
      <c r="E28" s="3"/>
      <c r="F28" s="23" t="n">
        <v>0.348</v>
      </c>
      <c r="G28" s="23" t="n">
        <v>0.348</v>
      </c>
      <c r="H28" s="23" t="n">
        <v>0.346</v>
      </c>
      <c r="I28" s="23" t="n">
        <v>0.344</v>
      </c>
      <c r="J28" s="23" t="n">
        <v>0.342</v>
      </c>
      <c r="K28" s="3"/>
    </row>
    <row r="29" customFormat="false" ht="15" hidden="false" customHeight="true" outlineLevel="0" collapsed="false">
      <c r="A29" s="7" t="s">
        <v>74</v>
      </c>
      <c r="B29" s="3"/>
      <c r="C29" s="3"/>
      <c r="D29" s="3"/>
      <c r="E29" s="3"/>
      <c r="F29" s="23" t="n">
        <v>0.345</v>
      </c>
      <c r="G29" s="23" t="n">
        <v>0.34</v>
      </c>
      <c r="H29" s="23" t="n">
        <v>0.335</v>
      </c>
      <c r="I29" s="23" t="n">
        <v>0.33</v>
      </c>
      <c r="J29" s="23" t="n">
        <v>0.325</v>
      </c>
      <c r="K29" s="4" t="s">
        <v>75</v>
      </c>
    </row>
    <row r="30" customFormat="false" ht="15" hidden="false" customHeight="true" outlineLevel="0" collapsed="false">
      <c r="A30" s="7" t="s">
        <v>76</v>
      </c>
      <c r="B30" s="3"/>
      <c r="C30" s="3"/>
      <c r="D30" s="3"/>
      <c r="E30" s="3"/>
      <c r="F30" s="23" t="n">
        <v>0.343</v>
      </c>
      <c r="G30" s="23" t="n">
        <v>0.335</v>
      </c>
      <c r="H30" s="23" t="n">
        <v>0.327</v>
      </c>
      <c r="I30" s="23" t="n">
        <v>0.319</v>
      </c>
      <c r="J30" s="23" t="n">
        <v>0.311</v>
      </c>
      <c r="K30" s="3"/>
    </row>
    <row r="31" customFormat="false" ht="15" hidden="false" customHeight="true" outlineLevel="0" collapsed="false">
      <c r="A31" s="18" t="s">
        <v>77</v>
      </c>
      <c r="B31" s="3"/>
      <c r="C31" s="3"/>
      <c r="D31" s="3"/>
      <c r="E31" s="3"/>
      <c r="F31" s="24" t="n">
        <f aca="false">CHOOSE($B$4,F28,F29,F30)</f>
        <v>0.345</v>
      </c>
      <c r="G31" s="24" t="n">
        <f aca="false">CHOOSE($B$4,G28,G29,G30)</f>
        <v>0.34</v>
      </c>
      <c r="H31" s="24" t="n">
        <f aca="false">CHOOSE($B$4,H28,H29,H30)</f>
        <v>0.335</v>
      </c>
      <c r="I31" s="24" t="n">
        <f aca="false">CHOOSE($B$4,I28,I29,I30)</f>
        <v>0.33</v>
      </c>
      <c r="J31" s="24" t="n">
        <f aca="false">CHOOSE($B$4,J28,J29,J30)</f>
        <v>0.325</v>
      </c>
      <c r="K31" s="3"/>
    </row>
    <row r="32" customFormat="false" ht="15" hidden="false" customHeight="true" outlineLevel="0" collapsed="false">
      <c r="A32" s="7" t="s">
        <v>78</v>
      </c>
      <c r="B32" s="3"/>
      <c r="C32" s="3"/>
      <c r="D32" s="3"/>
      <c r="E32" s="3"/>
      <c r="F32" s="26" t="n">
        <v>0.074</v>
      </c>
      <c r="G32" s="26" t="n">
        <v>0.073</v>
      </c>
      <c r="H32" s="26" t="n">
        <v>0.072</v>
      </c>
      <c r="I32" s="26" t="n">
        <v>0.071</v>
      </c>
      <c r="J32" s="26" t="n">
        <v>0.07</v>
      </c>
      <c r="K32" s="4" t="s">
        <v>79</v>
      </c>
    </row>
    <row r="33" customFormat="false" ht="15" hidden="false" customHeight="true" outlineLevel="0" collapsed="false">
      <c r="A33" s="7" t="s">
        <v>80</v>
      </c>
      <c r="B33" s="3"/>
      <c r="C33" s="3"/>
      <c r="D33" s="3"/>
      <c r="E33" s="3"/>
      <c r="F33" s="26" t="n">
        <v>0.01</v>
      </c>
      <c r="G33" s="26" t="n">
        <v>0.005</v>
      </c>
      <c r="H33" s="26" t="n">
        <v>0.005</v>
      </c>
      <c r="I33" s="26" t="n">
        <v>0.005</v>
      </c>
      <c r="J33" s="26" t="n">
        <v>0.005</v>
      </c>
      <c r="K33" s="4" t="s">
        <v>81</v>
      </c>
    </row>
    <row r="34" customFormat="false" ht="15" hidden="false" customHeight="true" outlineLevel="0" collapsed="false">
      <c r="A34" s="7" t="s">
        <v>82</v>
      </c>
      <c r="B34" s="3"/>
      <c r="C34" s="3"/>
      <c r="D34" s="3"/>
      <c r="E34" s="3"/>
      <c r="F34" s="26" t="n">
        <v>0.083</v>
      </c>
      <c r="G34" s="26" t="n">
        <v>0.083</v>
      </c>
      <c r="H34" s="26" t="n">
        <v>0.083</v>
      </c>
      <c r="I34" s="26" t="n">
        <v>0.083</v>
      </c>
      <c r="J34" s="26" t="n">
        <v>0.083</v>
      </c>
      <c r="K34" s="4" t="s">
        <v>83</v>
      </c>
    </row>
    <row r="35" customFormat="false" ht="15" hidden="false" customHeight="true" outlineLevel="0" collapsed="false">
      <c r="A35" s="7" t="s">
        <v>84</v>
      </c>
      <c r="B35" s="3"/>
      <c r="C35" s="3"/>
      <c r="D35" s="3"/>
      <c r="E35" s="3"/>
      <c r="F35" s="27" t="n">
        <v>1900</v>
      </c>
      <c r="G35" s="27" t="n">
        <v>1700</v>
      </c>
      <c r="H35" s="27" t="n">
        <v>1500</v>
      </c>
      <c r="I35" s="27" t="n">
        <v>1200</v>
      </c>
      <c r="J35" s="27" t="n">
        <v>900</v>
      </c>
      <c r="K35" s="4" t="s">
        <v>85</v>
      </c>
    </row>
    <row r="36" customFormat="false" ht="15" hidden="false" customHeight="true" outlineLevel="0" collapsed="false">
      <c r="A36" s="7" t="s">
        <v>86</v>
      </c>
      <c r="B36" s="3"/>
      <c r="C36" s="3"/>
      <c r="D36" s="3"/>
      <c r="E36" s="3"/>
      <c r="F36" s="26" t="n">
        <v>0.2</v>
      </c>
      <c r="G36" s="26" t="n">
        <v>0.2</v>
      </c>
      <c r="H36" s="26" t="n">
        <v>0.2</v>
      </c>
      <c r="I36" s="26" t="n">
        <v>0.2</v>
      </c>
      <c r="J36" s="26" t="n">
        <v>0.2</v>
      </c>
      <c r="K36" s="4" t="s">
        <v>87</v>
      </c>
    </row>
    <row r="37" customFormat="false" ht="15" hidden="false" customHeight="true" outlineLevel="0" collapsed="false">
      <c r="A37" s="7" t="s">
        <v>88</v>
      </c>
      <c r="B37" s="3"/>
      <c r="C37" s="3"/>
      <c r="D37" s="3"/>
      <c r="E37" s="3"/>
      <c r="F37" s="26" t="n">
        <v>0.015</v>
      </c>
      <c r="G37" s="26" t="n">
        <v>0.015</v>
      </c>
      <c r="H37" s="26" t="n">
        <v>0.015</v>
      </c>
      <c r="I37" s="26" t="n">
        <v>0.015</v>
      </c>
      <c r="J37" s="26" t="n">
        <v>0.015</v>
      </c>
      <c r="K37" s="4" t="s">
        <v>89</v>
      </c>
    </row>
    <row r="38" customFormat="false" ht="15" hidden="false" customHeight="true" outlineLevel="0" collapsed="false">
      <c r="A38" s="7" t="s">
        <v>90</v>
      </c>
      <c r="B38" s="3"/>
      <c r="C38" s="3"/>
      <c r="D38" s="3"/>
      <c r="E38" s="3"/>
      <c r="F38" s="26" t="n">
        <v>0.223</v>
      </c>
      <c r="G38" s="26" t="n">
        <v>0.215</v>
      </c>
      <c r="H38" s="26" t="n">
        <v>0.215</v>
      </c>
      <c r="I38" s="26" t="n">
        <v>0.215</v>
      </c>
      <c r="J38" s="26" t="n">
        <v>0.215</v>
      </c>
      <c r="K38" s="4" t="s">
        <v>91</v>
      </c>
    </row>
    <row r="39" customFormat="false" ht="15" hidden="false" customHeight="true" outlineLevel="0" collapsed="false">
      <c r="A39" s="7" t="s">
        <v>92</v>
      </c>
      <c r="B39" s="3"/>
      <c r="C39" s="3"/>
      <c r="D39" s="3"/>
      <c r="E39" s="3"/>
      <c r="F39" s="26" t="n">
        <v>0.045</v>
      </c>
      <c r="G39" s="26" t="n">
        <v>0.045</v>
      </c>
      <c r="H39" s="26" t="n">
        <v>0.045</v>
      </c>
      <c r="I39" s="26" t="n">
        <v>0.045</v>
      </c>
      <c r="J39" s="26" t="n">
        <v>0.045</v>
      </c>
      <c r="K39" s="4" t="s">
        <v>93</v>
      </c>
    </row>
    <row r="40" customFormat="false" ht="15" hidden="false" customHeight="true" outlineLevel="0" collapsed="false">
      <c r="A40" s="7" t="s">
        <v>94</v>
      </c>
      <c r="B40" s="3"/>
      <c r="C40" s="3"/>
      <c r="D40" s="3"/>
      <c r="E40" s="3"/>
      <c r="F40" s="26" t="n">
        <v>0.0375</v>
      </c>
      <c r="G40" s="26" t="n">
        <v>0.0375</v>
      </c>
      <c r="H40" s="26" t="n">
        <v>0.0375</v>
      </c>
      <c r="I40" s="26" t="n">
        <v>0.0375</v>
      </c>
      <c r="J40" s="26" t="n">
        <v>0.0375</v>
      </c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21" t="s">
        <v>95</v>
      </c>
      <c r="B42" s="22"/>
      <c r="C42" s="22"/>
      <c r="D42" s="22"/>
      <c r="E42" s="22"/>
      <c r="F42" s="22"/>
      <c r="G42" s="22"/>
      <c r="H42" s="22"/>
      <c r="I42" s="22"/>
      <c r="J42" s="22"/>
      <c r="K42" s="3"/>
    </row>
    <row r="43" customFormat="false" ht="15" hidden="false" customHeight="true" outlineLevel="0" collapsed="false">
      <c r="A43" s="7" t="s">
        <v>96</v>
      </c>
      <c r="B43" s="3"/>
      <c r="C43" s="3"/>
      <c r="D43" s="3"/>
      <c r="E43" s="3"/>
      <c r="F43" s="27" t="n">
        <v>126</v>
      </c>
      <c r="G43" s="27" t="n">
        <v>126</v>
      </c>
      <c r="H43" s="27" t="n">
        <v>126</v>
      </c>
      <c r="I43" s="27" t="n">
        <v>126</v>
      </c>
      <c r="J43" s="27" t="n">
        <v>126</v>
      </c>
      <c r="K43" s="4" t="s">
        <v>97</v>
      </c>
    </row>
    <row r="44" customFormat="false" ht="15" hidden="false" customHeight="true" outlineLevel="0" collapsed="false">
      <c r="A44" s="7" t="s">
        <v>98</v>
      </c>
      <c r="B44" s="3"/>
      <c r="C44" s="3"/>
      <c r="D44" s="3"/>
      <c r="E44" s="3"/>
      <c r="F44" s="26" t="n">
        <v>0.122</v>
      </c>
      <c r="G44" s="26" t="n">
        <v>0.122</v>
      </c>
      <c r="H44" s="26" t="n">
        <v>0.122</v>
      </c>
      <c r="I44" s="26" t="n">
        <v>0.122</v>
      </c>
      <c r="J44" s="26" t="n">
        <v>0.122</v>
      </c>
      <c r="K44" s="4" t="s">
        <v>99</v>
      </c>
    </row>
    <row r="45" customFormat="false" ht="15" hidden="false" customHeight="true" outlineLevel="0" collapsed="false">
      <c r="A45" s="7" t="s">
        <v>100</v>
      </c>
      <c r="B45" s="3"/>
      <c r="C45" s="3"/>
      <c r="D45" s="3"/>
      <c r="E45" s="3"/>
      <c r="F45" s="26" t="n">
        <v>0.054</v>
      </c>
      <c r="G45" s="26" t="n">
        <v>0.054</v>
      </c>
      <c r="H45" s="26" t="n">
        <v>0.054</v>
      </c>
      <c r="I45" s="26" t="n">
        <v>0.054</v>
      </c>
      <c r="J45" s="26" t="n">
        <v>0.054</v>
      </c>
      <c r="K45" s="4" t="s">
        <v>101</v>
      </c>
    </row>
    <row r="46" customFormat="false" ht="15" hidden="false" customHeight="true" outlineLevel="0" collapsed="false">
      <c r="A46" s="7" t="s">
        <v>102</v>
      </c>
      <c r="B46" s="3"/>
      <c r="C46" s="3"/>
      <c r="D46" s="3"/>
      <c r="E46" s="3"/>
      <c r="F46" s="26" t="n">
        <v>0.199</v>
      </c>
      <c r="G46" s="26" t="n">
        <v>0.199</v>
      </c>
      <c r="H46" s="26" t="n">
        <v>0.199</v>
      </c>
      <c r="I46" s="26" t="n">
        <v>0.199</v>
      </c>
      <c r="J46" s="26" t="n">
        <v>0.199</v>
      </c>
      <c r="K46" s="4" t="s">
        <v>103</v>
      </c>
    </row>
    <row r="47" customFormat="false" ht="15" hidden="false" customHeight="true" outlineLevel="0" collapsed="false">
      <c r="A47" s="7" t="s">
        <v>104</v>
      </c>
      <c r="B47" s="3"/>
      <c r="C47" s="3"/>
      <c r="D47" s="3"/>
      <c r="E47" s="3"/>
      <c r="F47" s="23" t="n">
        <v>0.585</v>
      </c>
      <c r="G47" s="23" t="n">
        <v>0.585</v>
      </c>
      <c r="H47" s="23" t="n">
        <v>0.585</v>
      </c>
      <c r="I47" s="23" t="n">
        <v>0.585</v>
      </c>
      <c r="J47" s="23" t="n">
        <v>0.585</v>
      </c>
      <c r="K47" s="4" t="s">
        <v>105</v>
      </c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21" t="s">
        <v>106</v>
      </c>
      <c r="B49" s="22"/>
      <c r="C49" s="22"/>
      <c r="D49" s="22"/>
      <c r="E49" s="22"/>
      <c r="F49" s="22"/>
      <c r="G49" s="22"/>
      <c r="H49" s="22"/>
      <c r="I49" s="22"/>
      <c r="J49" s="22"/>
      <c r="K49" s="3"/>
    </row>
    <row r="50" customFormat="false" ht="15" hidden="false" customHeight="true" outlineLevel="0" collapsed="false">
      <c r="A50" s="7" t="s">
        <v>107</v>
      </c>
      <c r="B50" s="3"/>
      <c r="C50" s="3"/>
      <c r="D50" s="3"/>
      <c r="E50" s="3"/>
      <c r="F50" s="27" t="n">
        <v>1504</v>
      </c>
      <c r="G50" s="27" t="n">
        <v>0</v>
      </c>
      <c r="H50" s="27" t="n">
        <v>0</v>
      </c>
      <c r="I50" s="27" t="n">
        <v>0</v>
      </c>
      <c r="J50" s="27" t="n">
        <v>0</v>
      </c>
      <c r="K50" s="4" t="s">
        <v>108</v>
      </c>
    </row>
    <row r="51" customFormat="false" ht="15" hidden="false" customHeight="true" outlineLevel="0" collapsed="false">
      <c r="A51" s="7" t="s">
        <v>109</v>
      </c>
      <c r="B51" s="3"/>
      <c r="C51" s="3"/>
      <c r="D51" s="3"/>
      <c r="E51" s="3"/>
      <c r="F51" s="27" t="n">
        <v>24842</v>
      </c>
      <c r="G51" s="27" t="n">
        <v>0</v>
      </c>
      <c r="H51" s="27" t="n">
        <v>0</v>
      </c>
      <c r="I51" s="27" t="n">
        <v>0</v>
      </c>
      <c r="J51" s="27" t="n">
        <v>0</v>
      </c>
      <c r="K51" s="4" t="s">
        <v>110</v>
      </c>
    </row>
    <row r="52" customFormat="false" ht="15" hidden="false" customHeight="true" outlineLevel="0" collapsed="false">
      <c r="A52" s="7" t="s">
        <v>111</v>
      </c>
      <c r="B52" s="3"/>
      <c r="C52" s="3"/>
      <c r="D52" s="3"/>
      <c r="E52" s="3"/>
      <c r="F52" s="27" t="n">
        <v>0</v>
      </c>
      <c r="G52" s="27" t="n">
        <v>0</v>
      </c>
      <c r="H52" s="27" t="n">
        <v>0</v>
      </c>
      <c r="I52" s="27" t="n">
        <v>0</v>
      </c>
      <c r="J52" s="27" t="n">
        <v>0</v>
      </c>
      <c r="K52" s="4" t="s">
        <v>112</v>
      </c>
    </row>
    <row r="53" customFormat="false" ht="15" hidden="false" customHeight="true" outlineLevel="0" collapsed="false">
      <c r="A53" s="7" t="s">
        <v>113</v>
      </c>
      <c r="B53" s="3"/>
      <c r="C53" s="3"/>
      <c r="D53" s="3"/>
      <c r="E53" s="3"/>
      <c r="F53" s="27" t="n">
        <v>28000</v>
      </c>
      <c r="G53" s="27"/>
      <c r="H53" s="27"/>
      <c r="I53" s="27"/>
      <c r="J53" s="27"/>
      <c r="K53" s="4" t="s">
        <v>114</v>
      </c>
    </row>
    <row r="54" customFormat="false" ht="15" hidden="false" customHeight="true" outlineLevel="0" collapsed="false">
      <c r="A54" s="7" t="s">
        <v>115</v>
      </c>
      <c r="B54" s="3"/>
      <c r="C54" s="3"/>
      <c r="D54" s="3"/>
      <c r="E54" s="3"/>
      <c r="F54" s="26"/>
      <c r="G54" s="26" t="n">
        <v>0.5</v>
      </c>
      <c r="H54" s="26" t="n">
        <v>0.5</v>
      </c>
      <c r="I54" s="26" t="n">
        <v>0.5</v>
      </c>
      <c r="J54" s="26" t="n">
        <v>0.5</v>
      </c>
      <c r="K54" s="4" t="s">
        <v>116</v>
      </c>
    </row>
    <row r="55" customFormat="false" ht="15" hidden="false" customHeight="true" outlineLevel="0" collapsed="false">
      <c r="A55" s="7" t="s">
        <v>117</v>
      </c>
      <c r="B55" s="3"/>
      <c r="C55" s="3"/>
      <c r="D55" s="3"/>
      <c r="E55" s="3"/>
      <c r="F55" s="27" t="n">
        <v>1480</v>
      </c>
      <c r="G55" s="27"/>
      <c r="H55" s="27"/>
      <c r="I55" s="27"/>
      <c r="J55" s="27"/>
      <c r="K55" s="4" t="s">
        <v>118</v>
      </c>
    </row>
    <row r="56" customFormat="false" ht="15" hidden="false" customHeight="true" outlineLevel="0" collapsed="false">
      <c r="A56" s="7" t="s">
        <v>119</v>
      </c>
      <c r="B56" s="3"/>
      <c r="C56" s="3"/>
      <c r="D56" s="3"/>
      <c r="E56" s="3"/>
      <c r="F56" s="26"/>
      <c r="G56" s="26" t="n">
        <v>0.05</v>
      </c>
      <c r="H56" s="26" t="n">
        <v>0.05</v>
      </c>
      <c r="I56" s="26" t="n">
        <v>0.05</v>
      </c>
      <c r="J56" s="26" t="n">
        <v>0.05</v>
      </c>
      <c r="K56" s="3"/>
    </row>
    <row r="57" customFormat="false" ht="15" hidden="false" customHeight="true" outlineLevel="0" collapsed="false">
      <c r="A57" s="7" t="s">
        <v>120</v>
      </c>
      <c r="B57" s="3"/>
      <c r="C57" s="3"/>
      <c r="D57" s="3"/>
      <c r="E57" s="3"/>
      <c r="F57" s="27" t="n">
        <v>1000</v>
      </c>
      <c r="G57" s="27" t="n">
        <v>1000</v>
      </c>
      <c r="H57" s="27" t="n">
        <v>1000</v>
      </c>
      <c r="I57" s="27" t="n">
        <v>1000</v>
      </c>
      <c r="J57" s="27" t="n">
        <v>1000</v>
      </c>
      <c r="K57" s="4" t="s">
        <v>121</v>
      </c>
    </row>
    <row r="58" customFormat="false" ht="15" hidden="false" customHeight="true" outlineLevel="0" collapsed="false">
      <c r="A58" s="7" t="s">
        <v>122</v>
      </c>
      <c r="B58" s="3"/>
      <c r="C58" s="3"/>
      <c r="D58" s="3"/>
      <c r="E58" s="3"/>
      <c r="F58" s="27" t="n">
        <v>838</v>
      </c>
      <c r="G58" s="27"/>
      <c r="H58" s="27"/>
      <c r="I58" s="27"/>
      <c r="J58" s="27"/>
      <c r="K58" s="4" t="s">
        <v>123</v>
      </c>
    </row>
    <row r="59" customFormat="false" ht="15" hidden="false" customHeight="true" outlineLevel="0" collapsed="false">
      <c r="A59" s="7" t="s">
        <v>124</v>
      </c>
      <c r="B59" s="3"/>
      <c r="C59" s="3"/>
      <c r="D59" s="3"/>
      <c r="E59" s="3"/>
      <c r="F59" s="26"/>
      <c r="G59" s="26" t="n">
        <v>-0.015</v>
      </c>
      <c r="H59" s="26" t="n">
        <v>-0.015</v>
      </c>
      <c r="I59" s="26" t="n">
        <v>-0.015</v>
      </c>
      <c r="J59" s="26" t="n">
        <v>-0.015</v>
      </c>
      <c r="K59" s="4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0" min="2" style="1" width="12.5"/>
  </cols>
  <sheetData>
    <row r="1" customFormat="false" ht="17.25" hidden="false" customHeight="true" outlineLevel="0" collapsed="false">
      <c r="A1" s="2" t="s">
        <v>126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127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5" t="s">
        <v>40</v>
      </c>
      <c r="B4" s="20" t="s">
        <v>128</v>
      </c>
      <c r="C4" s="20" t="s">
        <v>129</v>
      </c>
      <c r="D4" s="20" t="s">
        <v>130</v>
      </c>
      <c r="E4" s="20" t="s">
        <v>131</v>
      </c>
      <c r="F4" s="20" t="s">
        <v>41</v>
      </c>
      <c r="G4" s="20" t="s">
        <v>42</v>
      </c>
      <c r="H4" s="20" t="s">
        <v>43</v>
      </c>
      <c r="I4" s="20" t="s">
        <v>44</v>
      </c>
      <c r="J4" s="20" t="s">
        <v>45</v>
      </c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</row>
    <row r="6" customFormat="false" ht="15" hidden="false" customHeight="true" outlineLevel="0" collapsed="false">
      <c r="A6" s="21" t="s">
        <v>132</v>
      </c>
      <c r="B6" s="22"/>
      <c r="C6" s="22"/>
      <c r="D6" s="22"/>
      <c r="E6" s="22"/>
      <c r="F6" s="22"/>
      <c r="G6" s="22"/>
      <c r="H6" s="22"/>
      <c r="I6" s="22"/>
      <c r="J6" s="22"/>
    </row>
    <row r="7" customFormat="false" ht="15" hidden="false" customHeight="true" outlineLevel="0" collapsed="false">
      <c r="A7" s="7" t="s">
        <v>133</v>
      </c>
      <c r="B7" s="27" t="n">
        <v>24600</v>
      </c>
      <c r="C7" s="27" t="n">
        <v>27600</v>
      </c>
      <c r="D7" s="27" t="n">
        <v>30200</v>
      </c>
      <c r="E7" s="27" t="n">
        <v>35100</v>
      </c>
      <c r="F7" s="28" t="n">
        <f aca="false">E7*(1+Assumptions!F13)</f>
        <v>39312</v>
      </c>
      <c r="G7" s="28" t="n">
        <f aca="false">F7*(1+Assumptions!G13)</f>
        <v>43439.76</v>
      </c>
      <c r="H7" s="28" t="n">
        <f aca="false">G7*(1+Assumptions!H13)</f>
        <v>47783.736</v>
      </c>
      <c r="I7" s="28" t="n">
        <f aca="false">H7*(1+Assumptions!I13)</f>
        <v>52084.27224</v>
      </c>
      <c r="J7" s="28" t="n">
        <f aca="false">I7*(1+Assumptions!J13)</f>
        <v>56251.0140192</v>
      </c>
    </row>
    <row r="8" customFormat="false" ht="15" hidden="false" customHeight="true" outlineLevel="0" collapsed="false">
      <c r="A8" s="7" t="s">
        <v>134</v>
      </c>
      <c r="B8" s="3"/>
      <c r="C8" s="29" t="n">
        <f aca="false">C7/B7-1</f>
        <v>0.121951219512195</v>
      </c>
      <c r="D8" s="29" t="n">
        <f aca="false">D7/C7-1</f>
        <v>0.0942028985507246</v>
      </c>
      <c r="E8" s="29" t="n">
        <f aca="false">E7/D7-1</f>
        <v>0.162251655629139</v>
      </c>
      <c r="F8" s="29" t="n">
        <f aca="false">F7/E7-1</f>
        <v>0.12</v>
      </c>
      <c r="G8" s="29" t="n">
        <f aca="false">G7/F7-1</f>
        <v>0.105</v>
      </c>
      <c r="H8" s="29" t="n">
        <f aca="false">H7/G7-1</f>
        <v>0.1</v>
      </c>
      <c r="I8" s="29" t="n">
        <f aca="false">I7/H7-1</f>
        <v>0.0900000000000001</v>
      </c>
      <c r="J8" s="29" t="n">
        <f aca="false">J7/I7-1</f>
        <v>0.0800000000000001</v>
      </c>
    </row>
    <row r="9" customFormat="false" ht="15" hidden="false" customHeight="true" outlineLevel="0" collapsed="false">
      <c r="A9" s="7" t="s">
        <v>135</v>
      </c>
      <c r="B9" s="27" t="n">
        <v>48600</v>
      </c>
      <c r="C9" s="27" t="n">
        <v>56900</v>
      </c>
      <c r="D9" s="27" t="n">
        <v>63400</v>
      </c>
      <c r="E9" s="27" t="n">
        <v>72400</v>
      </c>
      <c r="F9" s="28" t="n">
        <f aca="false">F7/Assumptions!F15</f>
        <v>81055.6701030928</v>
      </c>
      <c r="G9" s="28" t="n">
        <f aca="false">G7/Assumptions!G15</f>
        <v>89566.5154639176</v>
      </c>
      <c r="H9" s="28" t="n">
        <f aca="false">H7/Assumptions!H15</f>
        <v>98523.1670103093</v>
      </c>
      <c r="I9" s="28" t="n">
        <f aca="false">I7/Assumptions!I15</f>
        <v>107390.252041237</v>
      </c>
      <c r="J9" s="28" t="n">
        <f aca="false">J7/Assumptions!J15</f>
        <v>115981.472204536</v>
      </c>
    </row>
    <row r="10" customFormat="false" ht="15" hidden="false" customHeight="true" outlineLevel="0" collapsed="false">
      <c r="A10" s="7" t="s">
        <v>136</v>
      </c>
      <c r="B10" s="29" t="n">
        <f aca="false">B7/B9</f>
        <v>0.506172839506173</v>
      </c>
      <c r="C10" s="29" t="n">
        <f aca="false">C7/C9</f>
        <v>0.48506151142355</v>
      </c>
      <c r="D10" s="29" t="n">
        <f aca="false">D7/D9</f>
        <v>0.476340694006309</v>
      </c>
      <c r="E10" s="29" t="n">
        <f aca="false">E7/E9</f>
        <v>0.484806629834254</v>
      </c>
      <c r="F10" s="29" t="n">
        <f aca="false">F7/F9</f>
        <v>0.485</v>
      </c>
      <c r="G10" s="29" t="n">
        <f aca="false">G7/G9</f>
        <v>0.485</v>
      </c>
      <c r="H10" s="29" t="n">
        <f aca="false">H7/H9</f>
        <v>0.485</v>
      </c>
      <c r="I10" s="29" t="n">
        <f aca="false">I7/I9</f>
        <v>0.485</v>
      </c>
      <c r="J10" s="29" t="n">
        <f aca="false">J7/J9</f>
        <v>0.485</v>
      </c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21" t="s">
        <v>137</v>
      </c>
      <c r="B12" s="22"/>
      <c r="C12" s="22"/>
      <c r="D12" s="22"/>
      <c r="E12" s="22"/>
      <c r="F12" s="22"/>
      <c r="G12" s="22"/>
      <c r="H12" s="22"/>
      <c r="I12" s="22"/>
      <c r="J12" s="22"/>
    </row>
    <row r="13" customFormat="false" ht="15" hidden="false" customHeight="true" outlineLevel="0" collapsed="false">
      <c r="A13" s="7" t="s">
        <v>138</v>
      </c>
      <c r="B13" s="27" t="n">
        <v>29021</v>
      </c>
      <c r="C13" s="27" t="n">
        <v>32537</v>
      </c>
      <c r="D13" s="27" t="n">
        <v>35679</v>
      </c>
      <c r="E13" s="27" t="n">
        <v>39388</v>
      </c>
      <c r="F13" s="28" t="n">
        <f aca="false">E7*Assumptions!F14</f>
        <v>44120.7</v>
      </c>
      <c r="G13" s="28" t="n">
        <f aca="false">F7*Assumptions!G14</f>
        <v>49336.56</v>
      </c>
      <c r="H13" s="28" t="n">
        <f aca="false">G7*Assumptions!H14</f>
        <v>54299.7</v>
      </c>
      <c r="I13" s="28" t="n">
        <f aca="false">H7*Assumptions!I14</f>
        <v>59729.67</v>
      </c>
      <c r="J13" s="28" t="n">
        <f aca="false">I7*Assumptions!J14</f>
        <v>65105.3403</v>
      </c>
    </row>
    <row r="14" customFormat="false" ht="15" hidden="false" customHeight="true" outlineLevel="0" collapsed="false">
      <c r="A14" s="7" t="s">
        <v>139</v>
      </c>
      <c r="B14" s="3"/>
      <c r="C14" s="29" t="n">
        <f aca="false">C13/B13-1</f>
        <v>0.121153647358809</v>
      </c>
      <c r="D14" s="29" t="n">
        <f aca="false">D13/C13-1</f>
        <v>0.0965669852782987</v>
      </c>
      <c r="E14" s="29" t="n">
        <f aca="false">E13/D13-1</f>
        <v>0.103954707250764</v>
      </c>
      <c r="F14" s="29" t="n">
        <f aca="false">F13/E13-1</f>
        <v>0.120155885041129</v>
      </c>
      <c r="G14" s="29" t="n">
        <f aca="false">G13/F13-1</f>
        <v>0.118217979315832</v>
      </c>
      <c r="H14" s="29" t="n">
        <f aca="false">H13/G13-1</f>
        <v>0.100597609561753</v>
      </c>
      <c r="I14" s="29" t="n">
        <f aca="false">I13/H13-1</f>
        <v>0.1</v>
      </c>
      <c r="J14" s="29" t="n">
        <f aca="false">J13/I13-1</f>
        <v>0.0900000000000001</v>
      </c>
    </row>
    <row r="15" customFormat="false" ht="15" hidden="false" customHeight="true" outlineLevel="0" collapsed="false">
      <c r="A15" s="7" t="s">
        <v>140</v>
      </c>
      <c r="B15" s="3"/>
      <c r="C15" s="30" t="n">
        <f aca="false">C13/B7</f>
        <v>1.32264227642276</v>
      </c>
      <c r="D15" s="30" t="n">
        <f aca="false">D13/C7</f>
        <v>1.29271739130435</v>
      </c>
      <c r="E15" s="30" t="n">
        <f aca="false">E13/D7</f>
        <v>1.30423841059603</v>
      </c>
      <c r="F15" s="30" t="n">
        <f aca="false">F13/E7</f>
        <v>1.257</v>
      </c>
      <c r="G15" s="30" t="n">
        <f aca="false">G13/F7</f>
        <v>1.255</v>
      </c>
      <c r="H15" s="30" t="n">
        <f aca="false">H13/G7</f>
        <v>1.25</v>
      </c>
      <c r="I15" s="30" t="n">
        <f aca="false">I13/H7</f>
        <v>1.25</v>
      </c>
      <c r="J15" s="30" t="n">
        <f aca="false">J13/I7</f>
        <v>1.25</v>
      </c>
    </row>
    <row r="16" customFormat="false" ht="15" hidden="false" customHeight="true" outlineLevel="0" collapsed="false">
      <c r="A16" s="7" t="s">
        <v>141</v>
      </c>
      <c r="B16" s="27" t="n">
        <v>2331</v>
      </c>
      <c r="C16" s="27" t="n">
        <v>2320</v>
      </c>
      <c r="D16" s="27" t="n">
        <v>2216</v>
      </c>
      <c r="E16" s="27" t="n">
        <v>2137</v>
      </c>
      <c r="F16" s="28" t="n">
        <f aca="false">E16*(1+Assumptions!F19)</f>
        <v>2094.26</v>
      </c>
      <c r="G16" s="28" t="n">
        <f aca="false">F16*(1+Assumptions!G19)</f>
        <v>2052.3748</v>
      </c>
      <c r="H16" s="28" t="n">
        <f aca="false">G16*(1+Assumptions!H19)</f>
        <v>2011.327304</v>
      </c>
      <c r="I16" s="28" t="n">
        <f aca="false">H16*(1+Assumptions!I19)</f>
        <v>1971.10075792</v>
      </c>
      <c r="J16" s="28" t="n">
        <f aca="false">I16*(1+Assumptions!J19)</f>
        <v>1931.6787427616</v>
      </c>
    </row>
    <row r="17" customFormat="false" ht="15" hidden="false" customHeight="true" outlineLevel="0" collapsed="false">
      <c r="A17" s="7" t="s">
        <v>139</v>
      </c>
      <c r="B17" s="3"/>
      <c r="C17" s="29" t="n">
        <f aca="false">C16/B16-1</f>
        <v>-0.00471900471900477</v>
      </c>
      <c r="D17" s="29" t="n">
        <f aca="false">D16/C16-1</f>
        <v>-0.0448275862068965</v>
      </c>
      <c r="E17" s="29" t="n">
        <f aca="false">E16/D16-1</f>
        <v>-0.0356498194945848</v>
      </c>
      <c r="F17" s="29" t="n">
        <f aca="false">F16/E16-1</f>
        <v>-0.0200000000000001</v>
      </c>
      <c r="G17" s="29" t="n">
        <f aca="false">G16/F16-1</f>
        <v>-0.0200000000000001</v>
      </c>
      <c r="H17" s="29" t="n">
        <f aca="false">H16/G16-1</f>
        <v>-0.02</v>
      </c>
      <c r="I17" s="29" t="n">
        <f aca="false">I16/H16-1</f>
        <v>-0.02</v>
      </c>
      <c r="J17" s="29" t="n">
        <f aca="false">J16/I16-1</f>
        <v>-0.02</v>
      </c>
    </row>
    <row r="18" customFormat="false" ht="15" hidden="false" customHeight="true" outlineLevel="0" collapsed="false">
      <c r="A18" s="18" t="s">
        <v>142</v>
      </c>
      <c r="B18" s="31" t="n">
        <f aca="false">B13+B16</f>
        <v>31352</v>
      </c>
      <c r="C18" s="31" t="n">
        <f aca="false">C13+C16</f>
        <v>34857</v>
      </c>
      <c r="D18" s="31" t="n">
        <f aca="false">D13+D16</f>
        <v>37895</v>
      </c>
      <c r="E18" s="31" t="n">
        <f aca="false">E13+E16</f>
        <v>41525</v>
      </c>
      <c r="F18" s="31" t="n">
        <f aca="false">F13+F16</f>
        <v>46214.96</v>
      </c>
      <c r="G18" s="31" t="n">
        <f aca="false">G13+G16</f>
        <v>51388.9348</v>
      </c>
      <c r="H18" s="31" t="n">
        <f aca="false">H13+H16</f>
        <v>56311.027304</v>
      </c>
      <c r="I18" s="31" t="n">
        <f aca="false">I13+I16</f>
        <v>61700.77075792</v>
      </c>
      <c r="J18" s="31" t="n">
        <f aca="false">J13+J16</f>
        <v>67037.0190427616</v>
      </c>
    </row>
    <row r="19" customFormat="false" ht="15" hidden="false" customHeight="true" outlineLevel="0" collapsed="false">
      <c r="A19" s="7" t="s">
        <v>139</v>
      </c>
      <c r="B19" s="3"/>
      <c r="C19" s="29" t="n">
        <f aca="false">C18/B18-1</f>
        <v>0.111795100791018</v>
      </c>
      <c r="D19" s="29" t="n">
        <f aca="false">D18/C18-1</f>
        <v>0.0871560949020283</v>
      </c>
      <c r="E19" s="29" t="n">
        <f aca="false">E18/D18-1</f>
        <v>0.0957910014513788</v>
      </c>
      <c r="F19" s="29" t="n">
        <f aca="false">F18/E18-1</f>
        <v>0.112943046357616</v>
      </c>
      <c r="G19" s="29" t="n">
        <f aca="false">G18/F18-1</f>
        <v>0.111954544589025</v>
      </c>
      <c r="H19" s="29" t="n">
        <f aca="false">H18/G18-1</f>
        <v>0.0957811739658789</v>
      </c>
      <c r="I19" s="29" t="n">
        <f aca="false">I18/H18-1</f>
        <v>0.0957138186242457</v>
      </c>
      <c r="J19" s="29" t="n">
        <f aca="false">J18/I18-1</f>
        <v>0.0864859258529869</v>
      </c>
    </row>
    <row r="20" customFormat="false" ht="15" hidden="false" customHeight="true" outlineLevel="0" collapsed="false">
      <c r="A20" s="7" t="s">
        <v>143</v>
      </c>
      <c r="B20" s="29" t="n">
        <f aca="false">B13/B18</f>
        <v>0.925650676192906</v>
      </c>
      <c r="C20" s="29" t="n">
        <f aca="false">C13/C18</f>
        <v>0.933442350173566</v>
      </c>
      <c r="D20" s="29" t="n">
        <f aca="false">D13/D18</f>
        <v>0.941522628315081</v>
      </c>
      <c r="E20" s="29" t="n">
        <f aca="false">E13/E18</f>
        <v>0.948537025888019</v>
      </c>
      <c r="F20" s="29" t="n">
        <f aca="false">F13/F18</f>
        <v>0.954684370602074</v>
      </c>
      <c r="G20" s="29" t="n">
        <f aca="false">G13/G18</f>
        <v>0.96006193146467</v>
      </c>
      <c r="H20" s="29" t="n">
        <f aca="false">H13/H18</f>
        <v>0.964281821868714</v>
      </c>
      <c r="I20" s="29" t="n">
        <f aca="false">I13/I18</f>
        <v>0.968053871390788</v>
      </c>
      <c r="J20" s="29" t="n">
        <f aca="false">J13/J18</f>
        <v>0.971184894997652</v>
      </c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true" outlineLevel="0" collapsed="false">
      <c r="A22" s="21" t="s">
        <v>144</v>
      </c>
      <c r="B22" s="22"/>
      <c r="C22" s="22"/>
      <c r="D22" s="22"/>
      <c r="E22" s="22"/>
      <c r="F22" s="22"/>
      <c r="G22" s="22"/>
      <c r="H22" s="22"/>
      <c r="I22" s="22"/>
      <c r="J22" s="22"/>
    </row>
    <row r="23" customFormat="false" ht="15" hidden="false" customHeight="true" outlineLevel="0" collapsed="false">
      <c r="A23" s="7" t="s">
        <v>145</v>
      </c>
      <c r="B23" s="27" t="n">
        <v>17376</v>
      </c>
      <c r="C23" s="27" t="n">
        <v>19003</v>
      </c>
      <c r="D23" s="27" t="n">
        <v>20743</v>
      </c>
      <c r="E23" s="27" t="n">
        <v>24317</v>
      </c>
      <c r="F23" s="32" t="n">
        <f aca="false">BS!F19</f>
        <v>27035.7516</v>
      </c>
      <c r="G23" s="32" t="n">
        <f aca="false">BS!G19</f>
        <v>30062.526858</v>
      </c>
      <c r="H23" s="32" t="n">
        <f aca="false">BS!H19</f>
        <v>32941.95097284</v>
      </c>
      <c r="I23" s="32" t="n">
        <f aca="false">BS!I19</f>
        <v>36094.9508933832</v>
      </c>
      <c r="J23" s="32" t="n">
        <f aca="false">BS!J19</f>
        <v>39216.6561400155</v>
      </c>
    </row>
    <row r="24" customFormat="false" ht="15" hidden="false" customHeight="true" outlineLevel="0" collapsed="false">
      <c r="A24" s="7" t="s">
        <v>146</v>
      </c>
      <c r="B24" s="3"/>
      <c r="C24" s="28" t="n">
        <f aca="false">C18+C23-B23</f>
        <v>36484</v>
      </c>
      <c r="D24" s="28" t="n">
        <f aca="false">D18+D23-C23</f>
        <v>39635</v>
      </c>
      <c r="E24" s="28" t="n">
        <f aca="false">E18+E23-D23</f>
        <v>45099</v>
      </c>
      <c r="F24" s="28" t="n">
        <f aca="false">F18+F23-E23</f>
        <v>48933.7116</v>
      </c>
      <c r="G24" s="28" t="n">
        <f aca="false">G18+G23-F23</f>
        <v>54415.710058</v>
      </c>
      <c r="H24" s="28" t="n">
        <f aca="false">H18+H23-G23</f>
        <v>59190.45141884</v>
      </c>
      <c r="I24" s="28" t="n">
        <f aca="false">I18+I23-H23</f>
        <v>64853.7706784632</v>
      </c>
      <c r="J24" s="28" t="n">
        <f aca="false">J18+J23-I23</f>
        <v>70158.724289394</v>
      </c>
    </row>
    <row r="25" customFormat="false" ht="15" hidden="false" customHeight="true" outlineLevel="0" collapsed="false">
      <c r="A25" s="7" t="s">
        <v>147</v>
      </c>
      <c r="B25" s="3"/>
      <c r="C25" s="3"/>
      <c r="D25" s="29" t="n">
        <f aca="false">D24/C24-1</f>
        <v>0.0863666264663963</v>
      </c>
      <c r="E25" s="29" t="n">
        <f aca="false">E24/D24-1</f>
        <v>0.137857953828687</v>
      </c>
      <c r="F25" s="29" t="n">
        <f aca="false">F24/E24-1</f>
        <v>0.0850287500831504</v>
      </c>
      <c r="G25" s="29" t="n">
        <f aca="false">G24/F24-1</f>
        <v>0.112029075227557</v>
      </c>
      <c r="H25" s="29" t="n">
        <f aca="false">H24/G24-1</f>
        <v>0.0877456410244535</v>
      </c>
      <c r="I25" s="29" t="n">
        <f aca="false">I24/H24-1</f>
        <v>0.0956796091915022</v>
      </c>
      <c r="J25" s="29" t="n">
        <f aca="false">J24/I24-1</f>
        <v>0.0817986919716978</v>
      </c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5" hidden="false" customHeight="true" outlineLevel="0" collapsed="false">
      <c r="A27" s="21" t="s">
        <v>148</v>
      </c>
      <c r="B27" s="22"/>
      <c r="C27" s="22"/>
      <c r="D27" s="22"/>
      <c r="E27" s="22"/>
      <c r="F27" s="22"/>
      <c r="G27" s="22"/>
      <c r="H27" s="22"/>
      <c r="I27" s="22"/>
      <c r="J27" s="22"/>
    </row>
    <row r="28" customFormat="false" ht="15" hidden="false" customHeight="true" outlineLevel="0" collapsed="false">
      <c r="A28" s="7" t="s">
        <v>149</v>
      </c>
      <c r="B28" s="27" t="n">
        <v>46100</v>
      </c>
      <c r="C28" s="27" t="n">
        <v>46400</v>
      </c>
      <c r="D28" s="3"/>
      <c r="E28" s="3"/>
      <c r="F28" s="3"/>
      <c r="G28" s="3"/>
      <c r="H28" s="3"/>
      <c r="I28" s="3"/>
      <c r="J28" s="3"/>
    </row>
    <row r="29" customFormat="false" ht="15" hidden="false" customHeight="true" outlineLevel="0" collapsed="false">
      <c r="A29" s="7" t="s">
        <v>150</v>
      </c>
      <c r="B29" s="12" t="str">
        <f aca="false">IF(AND(F18&gt;=B28,F18&lt;=C28),"YES","OUTSIDE")</f>
        <v>YES</v>
      </c>
      <c r="C29" s="3"/>
      <c r="D29" s="3"/>
      <c r="E29" s="3"/>
      <c r="F29" s="3"/>
      <c r="G29" s="3"/>
      <c r="H29" s="3"/>
      <c r="I29" s="3"/>
      <c r="J2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0" min="2" style="1" width="12.5"/>
    <col collapsed="false" customWidth="true" hidden="false" outlineLevel="0" max="11" min="11" style="1" width="40"/>
  </cols>
  <sheetData>
    <row r="1" customFormat="false" ht="17.25" hidden="false" customHeight="true" outlineLevel="0" collapsed="false">
      <c r="A1" s="2" t="s">
        <v>151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4" t="s">
        <v>152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5" t="s">
        <v>40</v>
      </c>
      <c r="B4" s="20" t="s">
        <v>128</v>
      </c>
      <c r="C4" s="20" t="s">
        <v>129</v>
      </c>
      <c r="D4" s="20" t="s">
        <v>130</v>
      </c>
      <c r="E4" s="20" t="s">
        <v>131</v>
      </c>
      <c r="F4" s="20" t="s">
        <v>41</v>
      </c>
      <c r="G4" s="20" t="s">
        <v>42</v>
      </c>
      <c r="H4" s="20" t="s">
        <v>43</v>
      </c>
      <c r="I4" s="20" t="s">
        <v>44</v>
      </c>
      <c r="J4" s="20" t="s">
        <v>45</v>
      </c>
      <c r="K4" s="3"/>
    </row>
    <row r="5" customFormat="false" ht="15" hidden="false" customHeight="true" outlineLevel="0" collapsed="false">
      <c r="A5" s="7" t="s">
        <v>138</v>
      </c>
      <c r="B5" s="32" t="n">
        <f aca="false">'Revenue Build'!B13</f>
        <v>29021</v>
      </c>
      <c r="C5" s="32" t="n">
        <f aca="false">'Revenue Build'!C13</f>
        <v>32537</v>
      </c>
      <c r="D5" s="32" t="n">
        <f aca="false">'Revenue Build'!D13</f>
        <v>35679</v>
      </c>
      <c r="E5" s="32" t="n">
        <f aca="false">'Revenue Build'!E13</f>
        <v>39388</v>
      </c>
      <c r="F5" s="32" t="n">
        <f aca="false">'Revenue Build'!F13</f>
        <v>44120.7</v>
      </c>
      <c r="G5" s="32" t="n">
        <f aca="false">'Revenue Build'!G13</f>
        <v>49336.56</v>
      </c>
      <c r="H5" s="32" t="n">
        <f aca="false">'Revenue Build'!H13</f>
        <v>54299.7</v>
      </c>
      <c r="I5" s="32" t="n">
        <f aca="false">'Revenue Build'!I13</f>
        <v>59729.67</v>
      </c>
      <c r="J5" s="32" t="n">
        <f aca="false">'Revenue Build'!J13</f>
        <v>65105.3403</v>
      </c>
      <c r="K5" s="3"/>
    </row>
    <row r="6" customFormat="false" ht="15" hidden="false" customHeight="true" outlineLevel="0" collapsed="false">
      <c r="A6" s="7" t="s">
        <v>141</v>
      </c>
      <c r="B6" s="32" t="n">
        <f aca="false">'Revenue Build'!B16</f>
        <v>2331</v>
      </c>
      <c r="C6" s="32" t="n">
        <f aca="false">'Revenue Build'!C16</f>
        <v>2320</v>
      </c>
      <c r="D6" s="32" t="n">
        <f aca="false">'Revenue Build'!D16</f>
        <v>2216</v>
      </c>
      <c r="E6" s="32" t="n">
        <f aca="false">'Revenue Build'!E16</f>
        <v>2137</v>
      </c>
      <c r="F6" s="32" t="n">
        <f aca="false">'Revenue Build'!F16</f>
        <v>2094.26</v>
      </c>
      <c r="G6" s="32" t="n">
        <f aca="false">'Revenue Build'!G16</f>
        <v>2052.3748</v>
      </c>
      <c r="H6" s="32" t="n">
        <f aca="false">'Revenue Build'!H16</f>
        <v>2011.327304</v>
      </c>
      <c r="I6" s="32" t="n">
        <f aca="false">'Revenue Build'!I16</f>
        <v>1971.10075792</v>
      </c>
      <c r="J6" s="32" t="n">
        <f aca="false">'Revenue Build'!J16</f>
        <v>1931.6787427616</v>
      </c>
      <c r="K6" s="3"/>
    </row>
    <row r="7" customFormat="false" ht="15" hidden="false" customHeight="true" outlineLevel="0" collapsed="false">
      <c r="A7" s="18" t="s">
        <v>142</v>
      </c>
      <c r="B7" s="31" t="n">
        <f aca="false">B5+B6</f>
        <v>31352</v>
      </c>
      <c r="C7" s="31" t="n">
        <f aca="false">C5+C6</f>
        <v>34857</v>
      </c>
      <c r="D7" s="31" t="n">
        <f aca="false">D5+D6</f>
        <v>37895</v>
      </c>
      <c r="E7" s="31" t="n">
        <f aca="false">E5+E6</f>
        <v>41525</v>
      </c>
      <c r="F7" s="31" t="n">
        <f aca="false">F5+F6</f>
        <v>46214.96</v>
      </c>
      <c r="G7" s="31" t="n">
        <f aca="false">G5+G6</f>
        <v>51388.9348</v>
      </c>
      <c r="H7" s="31" t="n">
        <f aca="false">H5+H6</f>
        <v>56311.027304</v>
      </c>
      <c r="I7" s="31" t="n">
        <f aca="false">I5+I6</f>
        <v>61700.77075792</v>
      </c>
      <c r="J7" s="31" t="n">
        <f aca="false">J5+J6</f>
        <v>67037.0190427616</v>
      </c>
      <c r="K7" s="3"/>
    </row>
    <row r="8" customFormat="false" ht="15" hidden="false" customHeight="true" outlineLevel="0" collapsed="false">
      <c r="A8" s="7" t="s">
        <v>139</v>
      </c>
      <c r="B8" s="3"/>
      <c r="C8" s="29" t="n">
        <f aca="false">C7/B7-1</f>
        <v>0.111795100791018</v>
      </c>
      <c r="D8" s="29" t="n">
        <f aca="false">D7/C7-1</f>
        <v>0.0871560949020283</v>
      </c>
      <c r="E8" s="29" t="n">
        <f aca="false">E7/D7-1</f>
        <v>0.0957910014513788</v>
      </c>
      <c r="F8" s="29" t="n">
        <f aca="false">F7/E7-1</f>
        <v>0.112943046357616</v>
      </c>
      <c r="G8" s="29" t="n">
        <f aca="false">G7/F7-1</f>
        <v>0.111954544589025</v>
      </c>
      <c r="H8" s="29" t="n">
        <f aca="false">H7/G7-1</f>
        <v>0.0957811739658789</v>
      </c>
      <c r="I8" s="29" t="n">
        <f aca="false">I7/H7-1</f>
        <v>0.0957138186242457</v>
      </c>
      <c r="J8" s="29" t="n">
        <f aca="false">J7/I7-1</f>
        <v>0.0864859258529869</v>
      </c>
      <c r="K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customFormat="false" ht="15" hidden="false" customHeight="true" outlineLevel="0" collapsed="false">
      <c r="A10" s="7" t="s">
        <v>153</v>
      </c>
      <c r="B10" s="27" t="n">
        <v>5821</v>
      </c>
      <c r="C10" s="27" t="n">
        <v>6177</v>
      </c>
      <c r="D10" s="27" t="n">
        <v>6198</v>
      </c>
      <c r="E10" s="27" t="n">
        <v>6796</v>
      </c>
      <c r="F10" s="28" t="n">
        <f aca="false">F5*Assumptions!F25</f>
        <v>7721.1225</v>
      </c>
      <c r="G10" s="28" t="n">
        <f aca="false">G5*Assumptions!G25</f>
        <v>8633.898</v>
      </c>
      <c r="H10" s="28" t="n">
        <f aca="false">H5*Assumptions!H25</f>
        <v>9502.4475</v>
      </c>
      <c r="I10" s="28" t="n">
        <f aca="false">I5*Assumptions!I25</f>
        <v>10452.69225</v>
      </c>
      <c r="J10" s="28" t="n">
        <f aca="false">J5*Assumptions!J25</f>
        <v>11393.4345525</v>
      </c>
      <c r="K10" s="3"/>
    </row>
    <row r="11" customFormat="false" ht="15" hidden="false" customHeight="true" outlineLevel="0" collapsed="false">
      <c r="A11" s="7" t="s">
        <v>154</v>
      </c>
      <c r="B11" s="27" t="n">
        <v>2539</v>
      </c>
      <c r="C11" s="27" t="n">
        <v>2364</v>
      </c>
      <c r="D11" s="27" t="n">
        <v>2445</v>
      </c>
      <c r="E11" s="27" t="n">
        <v>2474</v>
      </c>
      <c r="F11" s="28" t="n">
        <f aca="false">F6*Assumptions!F26</f>
        <v>2408.399</v>
      </c>
      <c r="G11" s="28" t="n">
        <f aca="false">G6*Assumptions!G26</f>
        <v>2360.23102</v>
      </c>
      <c r="H11" s="28" t="n">
        <f aca="false">H6*Assumptions!H26</f>
        <v>2313.0263996</v>
      </c>
      <c r="I11" s="28" t="n">
        <f aca="false">I6*Assumptions!I26</f>
        <v>2266.765871608</v>
      </c>
      <c r="J11" s="28" t="n">
        <f aca="false">J6*Assumptions!J26</f>
        <v>2221.43055417584</v>
      </c>
      <c r="K11" s="3"/>
    </row>
    <row r="12" customFormat="false" ht="15" hidden="false" customHeight="true" outlineLevel="0" collapsed="false">
      <c r="A12" s="7" t="s">
        <v>155</v>
      </c>
      <c r="B12" s="28" t="n">
        <f aca="false">B10+B11</f>
        <v>8360</v>
      </c>
      <c r="C12" s="28" t="n">
        <f aca="false">C10+C11</f>
        <v>8541</v>
      </c>
      <c r="D12" s="28" t="n">
        <f aca="false">D10+D11</f>
        <v>8643</v>
      </c>
      <c r="E12" s="28" t="n">
        <f aca="false">E10+E11</f>
        <v>9270</v>
      </c>
      <c r="F12" s="28" t="n">
        <f aca="false">F10+F11</f>
        <v>10129.5215</v>
      </c>
      <c r="G12" s="28" t="n">
        <f aca="false">G10+G11</f>
        <v>10994.12902</v>
      </c>
      <c r="H12" s="28" t="n">
        <f aca="false">H10+H11</f>
        <v>11815.4738996</v>
      </c>
      <c r="I12" s="28" t="n">
        <f aca="false">I10+I11</f>
        <v>12719.458121608</v>
      </c>
      <c r="J12" s="28" t="n">
        <f aca="false">J10+J11</f>
        <v>13614.8651066758</v>
      </c>
      <c r="K12" s="3"/>
    </row>
    <row r="13" customFormat="false" ht="15" hidden="false" customHeight="true" outlineLevel="0" collapsed="false">
      <c r="A13" s="18" t="s">
        <v>156</v>
      </c>
      <c r="B13" s="31" t="n">
        <f aca="false">B7-B12</f>
        <v>22992</v>
      </c>
      <c r="C13" s="31" t="n">
        <f aca="false">C7-C12</f>
        <v>26316</v>
      </c>
      <c r="D13" s="31" t="n">
        <f aca="false">D7-D12</f>
        <v>29252</v>
      </c>
      <c r="E13" s="31" t="n">
        <f aca="false">E7-E12</f>
        <v>32255</v>
      </c>
      <c r="F13" s="31" t="n">
        <f aca="false">F7-F12</f>
        <v>36085.4385</v>
      </c>
      <c r="G13" s="31" t="n">
        <f aca="false">G7-G12</f>
        <v>40394.80578</v>
      </c>
      <c r="H13" s="31" t="n">
        <f aca="false">H7-H12</f>
        <v>44495.5534044</v>
      </c>
      <c r="I13" s="31" t="n">
        <f aca="false">I7-I12</f>
        <v>48981.312636312</v>
      </c>
      <c r="J13" s="31" t="n">
        <f aca="false">J7-J12</f>
        <v>53422.1539360858</v>
      </c>
      <c r="K13" s="3"/>
    </row>
    <row r="14" customFormat="false" ht="15" hidden="false" customHeight="true" outlineLevel="0" collapsed="false">
      <c r="A14" s="7" t="s">
        <v>157</v>
      </c>
      <c r="B14" s="29" t="n">
        <f aca="false">B13/B7</f>
        <v>0.733350344475632</v>
      </c>
      <c r="C14" s="29" t="n">
        <f aca="false">C13/C7</f>
        <v>0.754970307255358</v>
      </c>
      <c r="D14" s="29" t="n">
        <f aca="false">D13/D7</f>
        <v>0.771922417205436</v>
      </c>
      <c r="E14" s="29" t="n">
        <f aca="false">E13/E7</f>
        <v>0.776760987357014</v>
      </c>
      <c r="F14" s="29" t="n">
        <f aca="false">F13/F7</f>
        <v>0.780817261337022</v>
      </c>
      <c r="G14" s="29" t="n">
        <f aca="false">G13/G7</f>
        <v>0.786060383178053</v>
      </c>
      <c r="H14" s="29" t="n">
        <f aca="false">H13/H7</f>
        <v>0.790174776321996</v>
      </c>
      <c r="I14" s="29" t="n">
        <f aca="false">I13/I7</f>
        <v>0.793852524606019</v>
      </c>
      <c r="J14" s="29" t="n">
        <f aca="false">J13/J7</f>
        <v>0.79690527262271</v>
      </c>
      <c r="K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true" outlineLevel="0" collapsed="false">
      <c r="A16" s="7" t="s">
        <v>158</v>
      </c>
      <c r="B16" s="27" t="n">
        <v>5055</v>
      </c>
      <c r="C16" s="27" t="n">
        <v>4906</v>
      </c>
      <c r="D16" s="27" t="n">
        <v>5493</v>
      </c>
      <c r="E16" s="27" t="n">
        <v>5993</v>
      </c>
      <c r="F16" s="28" t="n">
        <f aca="false">F7*Assumptions!F27</f>
        <v>6839.81408</v>
      </c>
      <c r="G16" s="28" t="n">
        <f aca="false">G7*Assumptions!G27</f>
        <v>7605.5623504</v>
      </c>
      <c r="H16" s="28" t="n">
        <f aca="false">H7*Assumptions!H27</f>
        <v>8334.032040992</v>
      </c>
      <c r="I16" s="28" t="n">
        <f aca="false">I7*Assumptions!I27</f>
        <v>9131.71407217216</v>
      </c>
      <c r="J16" s="28" t="n">
        <f aca="false">J7*Assumptions!J27</f>
        <v>9921.47881832872</v>
      </c>
      <c r="K16" s="3"/>
    </row>
    <row r="17" customFormat="false" ht="15" hidden="false" customHeight="true" outlineLevel="0" collapsed="false">
      <c r="A17" s="7" t="s">
        <v>159</v>
      </c>
      <c r="B17" s="27" t="n">
        <v>13526</v>
      </c>
      <c r="C17" s="27" t="n">
        <v>12877</v>
      </c>
      <c r="D17" s="27" t="n">
        <v>13257</v>
      </c>
      <c r="E17" s="27" t="n">
        <v>14345</v>
      </c>
      <c r="F17" s="28" t="n">
        <f aca="false">F7*Assumptions!F31</f>
        <v>15944.1612</v>
      </c>
      <c r="G17" s="28" t="n">
        <f aca="false">G7*Assumptions!G31</f>
        <v>17472.237832</v>
      </c>
      <c r="H17" s="28" t="n">
        <f aca="false">H7*Assumptions!H31</f>
        <v>18864.19414684</v>
      </c>
      <c r="I17" s="28" t="n">
        <f aca="false">I7*Assumptions!I31</f>
        <v>20361.2543501136</v>
      </c>
      <c r="J17" s="28" t="n">
        <f aca="false">J7*Assumptions!J31</f>
        <v>21787.0311888975</v>
      </c>
      <c r="K17" s="3"/>
    </row>
    <row r="18" customFormat="false" ht="15" hidden="false" customHeight="true" outlineLevel="0" collapsed="false">
      <c r="A18" s="7" t="s">
        <v>160</v>
      </c>
      <c r="B18" s="27" t="n">
        <v>2553</v>
      </c>
      <c r="C18" s="27" t="n">
        <v>2534</v>
      </c>
      <c r="D18" s="27" t="n">
        <v>2836</v>
      </c>
      <c r="E18" s="27" t="n">
        <v>3000</v>
      </c>
      <c r="F18" s="28" t="n">
        <f aca="false">F7*Assumptions!F32</f>
        <v>3419.90704</v>
      </c>
      <c r="G18" s="28" t="n">
        <f aca="false">G7*Assumptions!G32</f>
        <v>3751.3922404</v>
      </c>
      <c r="H18" s="28" t="n">
        <f aca="false">H7*Assumptions!H32</f>
        <v>4054.393965888</v>
      </c>
      <c r="I18" s="28" t="n">
        <f aca="false">I7*Assumptions!I32</f>
        <v>4380.75472381232</v>
      </c>
      <c r="J18" s="28" t="n">
        <f aca="false">J7*Assumptions!J32</f>
        <v>4692.59133299331</v>
      </c>
      <c r="K18" s="3"/>
    </row>
    <row r="19" customFormat="false" ht="15" hidden="false" customHeight="true" outlineLevel="0" collapsed="false">
      <c r="A19" s="7" t="s">
        <v>161</v>
      </c>
      <c r="B19" s="27" t="n">
        <v>828</v>
      </c>
      <c r="C19" s="27" t="n">
        <v>988</v>
      </c>
      <c r="D19" s="27" t="n">
        <v>461</v>
      </c>
      <c r="E19" s="27" t="n">
        <v>586</v>
      </c>
      <c r="F19" s="28" t="n">
        <f aca="false">F7*Assumptions!F33</f>
        <v>462.1496</v>
      </c>
      <c r="G19" s="28" t="n">
        <f aca="false">G7*Assumptions!G33</f>
        <v>256.944674</v>
      </c>
      <c r="H19" s="28" t="n">
        <f aca="false">H7*Assumptions!H33</f>
        <v>281.55513652</v>
      </c>
      <c r="I19" s="28" t="n">
        <f aca="false">I7*Assumptions!I33</f>
        <v>308.5038537896</v>
      </c>
      <c r="J19" s="28" t="n">
        <f aca="false">J7*Assumptions!J33</f>
        <v>335.185095213808</v>
      </c>
      <c r="K19" s="3"/>
    </row>
    <row r="20" customFormat="false" ht="15" hidden="false" customHeight="true" outlineLevel="0" collapsed="false">
      <c r="A20" s="7" t="s">
        <v>162</v>
      </c>
      <c r="B20" s="28" t="n">
        <f aca="false">SUM(B16:B19)</f>
        <v>21962</v>
      </c>
      <c r="C20" s="28" t="n">
        <f aca="false">SUM(C16:C19)</f>
        <v>21305</v>
      </c>
      <c r="D20" s="28" t="n">
        <f aca="false">SUM(D16:D19)</f>
        <v>22047</v>
      </c>
      <c r="E20" s="28" t="n">
        <f aca="false">SUM(E16:E19)</f>
        <v>23924</v>
      </c>
      <c r="F20" s="28" t="n">
        <f aca="false">SUM(F16:F19)</f>
        <v>26666.03192</v>
      </c>
      <c r="G20" s="28" t="n">
        <f aca="false">SUM(G16:G19)</f>
        <v>29086.1370968</v>
      </c>
      <c r="H20" s="28" t="n">
        <f aca="false">SUM(H16:H19)</f>
        <v>31534.17529024</v>
      </c>
      <c r="I20" s="28" t="n">
        <f aca="false">SUM(I16:I19)</f>
        <v>34182.2269998877</v>
      </c>
      <c r="J20" s="28" t="n">
        <f aca="false">SUM(J16:J19)</f>
        <v>36736.2864354334</v>
      </c>
      <c r="K20" s="3"/>
    </row>
    <row r="21" customFormat="false" ht="15" hidden="false" customHeight="true" outlineLevel="0" collapsed="false">
      <c r="A21" s="18" t="s">
        <v>163</v>
      </c>
      <c r="B21" s="31" t="n">
        <f aca="false">B13-B20</f>
        <v>1030</v>
      </c>
      <c r="C21" s="31" t="n">
        <f aca="false">C13-C20</f>
        <v>5011</v>
      </c>
      <c r="D21" s="31" t="n">
        <f aca="false">D13-D20</f>
        <v>7205</v>
      </c>
      <c r="E21" s="31" t="n">
        <f aca="false">E13-E20</f>
        <v>8331</v>
      </c>
      <c r="F21" s="31" t="n">
        <f aca="false">F13-F20</f>
        <v>9419.40658000001</v>
      </c>
      <c r="G21" s="31" t="n">
        <f aca="false">G13-G20</f>
        <v>11308.6686832</v>
      </c>
      <c r="H21" s="31" t="n">
        <f aca="false">H13-H20</f>
        <v>12961.37811416</v>
      </c>
      <c r="I21" s="31" t="n">
        <f aca="false">I13-I20</f>
        <v>14799.0856364243</v>
      </c>
      <c r="J21" s="31" t="n">
        <f aca="false">J13-J20</f>
        <v>16685.8675006524</v>
      </c>
      <c r="K21" s="3"/>
    </row>
    <row r="22" customFormat="false" ht="15" hidden="false" customHeight="true" outlineLevel="0" collapsed="false">
      <c r="A22" s="7" t="s">
        <v>164</v>
      </c>
      <c r="B22" s="29" t="n">
        <f aca="false">B21/B7</f>
        <v>0.032852768563409</v>
      </c>
      <c r="C22" s="29" t="n">
        <f aca="false">C21/C7</f>
        <v>0.143758785896664</v>
      </c>
      <c r="D22" s="29" t="n">
        <f aca="false">D21/D7</f>
        <v>0.190130624092888</v>
      </c>
      <c r="E22" s="29" t="n">
        <f aca="false">E21/E7</f>
        <v>0.200626128838049</v>
      </c>
      <c r="F22" s="29" t="n">
        <f aca="false">F21/F7</f>
        <v>0.203817261337022</v>
      </c>
      <c r="G22" s="29" t="n">
        <f aca="false">G21/G7</f>
        <v>0.220060383178053</v>
      </c>
      <c r="H22" s="29" t="n">
        <f aca="false">H21/H7</f>
        <v>0.230174776321996</v>
      </c>
      <c r="I22" s="29" t="n">
        <f aca="false">I21/I7</f>
        <v>0.239852524606019</v>
      </c>
      <c r="J22" s="29" t="n">
        <f aca="false">J21/J7</f>
        <v>0.24890527262271</v>
      </c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7" t="s">
        <v>165</v>
      </c>
      <c r="B24" s="27" t="n">
        <v>-239</v>
      </c>
      <c r="C24" s="27" t="n">
        <v>-277</v>
      </c>
      <c r="D24" s="27" t="n">
        <v>-121</v>
      </c>
      <c r="E24" s="27" t="n">
        <v>1017</v>
      </c>
      <c r="F24" s="28" t="n">
        <f aca="false">0</f>
        <v>0</v>
      </c>
      <c r="G24" s="28" t="n">
        <f aca="false">0</f>
        <v>0</v>
      </c>
      <c r="H24" s="28" t="n">
        <f aca="false">0</f>
        <v>0</v>
      </c>
      <c r="I24" s="28" t="n">
        <f aca="false">0</f>
        <v>0</v>
      </c>
      <c r="J24" s="28" t="n">
        <f aca="false">0</f>
        <v>0</v>
      </c>
      <c r="K24" s="4" t="s">
        <v>166</v>
      </c>
    </row>
    <row r="25" customFormat="false" ht="15" hidden="false" customHeight="true" outlineLevel="0" collapsed="false">
      <c r="A25" s="7" t="s">
        <v>167</v>
      </c>
      <c r="B25" s="3"/>
      <c r="C25" s="3"/>
      <c r="D25" s="3"/>
      <c r="E25" s="3"/>
      <c r="F25" s="28" t="n">
        <f aca="false">Assumptions!F40*(BS!E5+BS!E6)</f>
        <v>358.6875</v>
      </c>
      <c r="G25" s="28" t="n">
        <f aca="false">Assumptions!G40*(BS!F5+BS!F6)</f>
        <v>673.690302581343</v>
      </c>
      <c r="H25" s="28" t="n">
        <f aca="false">Assumptions!H40*(BS!G5+BS!G6)</f>
        <v>938.112836683808</v>
      </c>
      <c r="I25" s="28" t="n">
        <f aca="false">Assumptions!I40*(BS!H5+BS!H6)</f>
        <v>1229.62265998692</v>
      </c>
      <c r="J25" s="28" t="n">
        <f aca="false">Assumptions!J40*(BS!I5+BS!I6)</f>
        <v>1553.63952363759</v>
      </c>
      <c r="K25" s="3"/>
    </row>
    <row r="26" customFormat="false" ht="15" hidden="false" customHeight="true" outlineLevel="0" collapsed="false">
      <c r="A26" s="7" t="s">
        <v>168</v>
      </c>
      <c r="B26" s="3"/>
      <c r="C26" s="3"/>
      <c r="D26" s="3"/>
      <c r="E26" s="3"/>
      <c r="F26" s="28" t="n">
        <f aca="false">-Assumptions!F39*AVERAGE(BS!E21,BS!F21)</f>
        <v>-1208.7</v>
      </c>
      <c r="G26" s="28" t="n">
        <f aca="false">-Assumptions!G39*AVERAGE(BS!F21,BS!G21)</f>
        <v>-1767.645</v>
      </c>
      <c r="H26" s="28" t="n">
        <f aca="false">-Assumptions!H39*AVERAGE(BS!G21,BS!H21)</f>
        <v>-1767.645</v>
      </c>
      <c r="I26" s="28" t="n">
        <f aca="false">-Assumptions!I39*AVERAGE(BS!H21,BS!I21)</f>
        <v>-1767.645</v>
      </c>
      <c r="J26" s="28" t="n">
        <f aca="false">-Assumptions!J39*AVERAGE(BS!I21,BS!J21)</f>
        <v>-1767.645</v>
      </c>
      <c r="K26" s="3"/>
    </row>
    <row r="27" customFormat="false" ht="15" hidden="false" customHeight="true" outlineLevel="0" collapsed="false">
      <c r="A27" s="7" t="s">
        <v>169</v>
      </c>
      <c r="B27" s="27" t="n">
        <v>-131</v>
      </c>
      <c r="C27" s="27" t="n">
        <v>216</v>
      </c>
      <c r="D27" s="27" t="n">
        <v>354</v>
      </c>
      <c r="E27" s="27" t="n">
        <v>172</v>
      </c>
      <c r="F27" s="28" t="n">
        <f aca="false">F25+F26</f>
        <v>-850.0125</v>
      </c>
      <c r="G27" s="28" t="n">
        <f aca="false">G25+G26</f>
        <v>-1093.95469741866</v>
      </c>
      <c r="H27" s="28" t="n">
        <f aca="false">H25+H26</f>
        <v>-829.532163316192</v>
      </c>
      <c r="I27" s="28" t="n">
        <f aca="false">I25+I26</f>
        <v>-538.022340013085</v>
      </c>
      <c r="J27" s="28" t="n">
        <f aca="false">J25+J26</f>
        <v>-214.005476362409</v>
      </c>
      <c r="K27" s="3"/>
    </row>
    <row r="28" customFormat="false" ht="15" hidden="false" customHeight="true" outlineLevel="0" collapsed="false">
      <c r="A28" s="18" t="s">
        <v>170</v>
      </c>
      <c r="B28" s="31" t="n">
        <f aca="false">B21+B24+B27</f>
        <v>660</v>
      </c>
      <c r="C28" s="31" t="n">
        <f aca="false">C21+C24+C27</f>
        <v>4950</v>
      </c>
      <c r="D28" s="31" t="n">
        <f aca="false">D21+D24+D27</f>
        <v>7438</v>
      </c>
      <c r="E28" s="31" t="n">
        <f aca="false">E21+E24+E27</f>
        <v>9520</v>
      </c>
      <c r="F28" s="31" t="n">
        <f aca="false">F21+F24+F27</f>
        <v>8569.39408000001</v>
      </c>
      <c r="G28" s="31" t="n">
        <f aca="false">G21+G24+G27</f>
        <v>10214.7139857813</v>
      </c>
      <c r="H28" s="31" t="n">
        <f aca="false">H21+H24+H27</f>
        <v>12131.8459508438</v>
      </c>
      <c r="I28" s="31" t="n">
        <f aca="false">I21+I24+I27</f>
        <v>14261.0632964112</v>
      </c>
      <c r="J28" s="31" t="n">
        <f aca="false">J21+J24+J27</f>
        <v>16471.86202429</v>
      </c>
      <c r="K28" s="3"/>
    </row>
    <row r="29" customFormat="false" ht="15" hidden="false" customHeight="true" outlineLevel="0" collapsed="false">
      <c r="A29" s="7" t="s">
        <v>171</v>
      </c>
      <c r="B29" s="27" t="n">
        <v>-452</v>
      </c>
      <c r="C29" s="27" t="n">
        <v>-814</v>
      </c>
      <c r="D29" s="27" t="n">
        <v>-1241</v>
      </c>
      <c r="E29" s="27" t="n">
        <v>-2063</v>
      </c>
      <c r="F29" s="28" t="n">
        <f aca="false">-F28*Assumptions!F38</f>
        <v>-1910.97487984</v>
      </c>
      <c r="G29" s="28" t="n">
        <f aca="false">-G28*Assumptions!G38</f>
        <v>-2196.16350694299</v>
      </c>
      <c r="H29" s="28" t="n">
        <f aca="false">-H28*Assumptions!H38</f>
        <v>-2608.34687943142</v>
      </c>
      <c r="I29" s="28" t="n">
        <f aca="false">-I28*Assumptions!I38</f>
        <v>-3066.12860872842</v>
      </c>
      <c r="J29" s="28" t="n">
        <f aca="false">-J28*Assumptions!J38</f>
        <v>-3541.45033522235</v>
      </c>
      <c r="K29" s="3"/>
    </row>
    <row r="30" customFormat="false" ht="15" hidden="false" customHeight="true" outlineLevel="0" collapsed="false">
      <c r="A30" s="18" t="s">
        <v>172</v>
      </c>
      <c r="B30" s="31" t="n">
        <f aca="false">B28+B29</f>
        <v>208</v>
      </c>
      <c r="C30" s="31" t="n">
        <f aca="false">C28+C29</f>
        <v>4136</v>
      </c>
      <c r="D30" s="31" t="n">
        <f aca="false">D28+D29</f>
        <v>6197</v>
      </c>
      <c r="E30" s="31" t="n">
        <f aca="false">E28+E29</f>
        <v>7457</v>
      </c>
      <c r="F30" s="31" t="n">
        <f aca="false">F28+F29</f>
        <v>6658.41920016</v>
      </c>
      <c r="G30" s="31" t="n">
        <f aca="false">G28+G29</f>
        <v>8018.55047883836</v>
      </c>
      <c r="H30" s="31" t="n">
        <f aca="false">H28+H29</f>
        <v>9523.49907141239</v>
      </c>
      <c r="I30" s="31" t="n">
        <f aca="false">I28+I29</f>
        <v>11194.9346876828</v>
      </c>
      <c r="J30" s="31" t="n">
        <f aca="false">J28+J29</f>
        <v>12930.4116890676</v>
      </c>
      <c r="K30" s="3"/>
    </row>
    <row r="31" customFormat="false" ht="15" hidden="false" customHeight="true" outlineLevel="0" collapsed="false">
      <c r="A31" s="7" t="s">
        <v>173</v>
      </c>
      <c r="B31" s="29" t="n">
        <f aca="false">B30/B7</f>
        <v>0.00663434549630008</v>
      </c>
      <c r="C31" s="29" t="n">
        <f aca="false">C30/C7</f>
        <v>0.118656224000918</v>
      </c>
      <c r="D31" s="29" t="n">
        <f aca="false">D30/D7</f>
        <v>0.163530808813828</v>
      </c>
      <c r="E31" s="29" t="n">
        <f aca="false">E30/E7</f>
        <v>0.179578567128236</v>
      </c>
      <c r="F31" s="29" t="n">
        <f aca="false">F30/F7</f>
        <v>0.144074974860089</v>
      </c>
      <c r="G31" s="29" t="n">
        <f aca="false">G30/G7</f>
        <v>0.156036518562715</v>
      </c>
      <c r="H31" s="29" t="n">
        <f aca="false">H30/H7</f>
        <v>0.169123163390342</v>
      </c>
      <c r="I31" s="29" t="n">
        <f aca="false">I30/I7</f>
        <v>0.181439138444568</v>
      </c>
      <c r="J31" s="29" t="n">
        <f aca="false">J30/J7</f>
        <v>0.192884646031465</v>
      </c>
      <c r="K31" s="3"/>
    </row>
    <row r="32" customFormat="false" ht="15" hidden="false" customHeight="true" outlineLevel="0" collapsed="false">
      <c r="A32" s="7" t="s">
        <v>174</v>
      </c>
      <c r="B32" s="29" t="n">
        <f aca="false">-B29/B28</f>
        <v>0.684848484848485</v>
      </c>
      <c r="C32" s="29" t="n">
        <f aca="false">-C29/C28</f>
        <v>0.164444444444444</v>
      </c>
      <c r="D32" s="29" t="n">
        <f aca="false">-D29/D28</f>
        <v>0.166845926324281</v>
      </c>
      <c r="E32" s="29" t="n">
        <f aca="false">-E29/E28</f>
        <v>0.216701680672269</v>
      </c>
      <c r="F32" s="29" t="n">
        <f aca="false">-F29/F28</f>
        <v>0.223</v>
      </c>
      <c r="G32" s="29" t="n">
        <f aca="false">-G29/G28</f>
        <v>0.215</v>
      </c>
      <c r="H32" s="29" t="n">
        <f aca="false">-H29/H28</f>
        <v>0.215</v>
      </c>
      <c r="I32" s="29" t="n">
        <f aca="false">-I29/I28</f>
        <v>0.215</v>
      </c>
      <c r="J32" s="29" t="n">
        <f aca="false">-J29/J28</f>
        <v>0.215</v>
      </c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7" t="s">
        <v>122</v>
      </c>
      <c r="B34" s="27" t="n">
        <v>997</v>
      </c>
      <c r="C34" s="27" t="n">
        <v>984</v>
      </c>
      <c r="D34" s="27" t="n">
        <v>974</v>
      </c>
      <c r="E34" s="27" t="n">
        <v>956</v>
      </c>
      <c r="F34" s="32" t="n">
        <f aca="false">Assumptions!F58</f>
        <v>838</v>
      </c>
      <c r="G34" s="28" t="n">
        <f aca="false">F34*(1+Assumptions!G59)</f>
        <v>825.43</v>
      </c>
      <c r="H34" s="28" t="n">
        <f aca="false">G34*(1+Assumptions!H59)</f>
        <v>813.04855</v>
      </c>
      <c r="I34" s="28" t="n">
        <f aca="false">H34*(1+Assumptions!I59)</f>
        <v>800.85282175</v>
      </c>
      <c r="J34" s="28" t="n">
        <f aca="false">I34*(1+Assumptions!J59)</f>
        <v>788.84002942375</v>
      </c>
      <c r="K34" s="3"/>
    </row>
    <row r="35" customFormat="false" ht="15" hidden="false" customHeight="true" outlineLevel="0" collapsed="false">
      <c r="A35" s="18" t="s">
        <v>175</v>
      </c>
      <c r="B35" s="33" t="n">
        <f aca="false">B30/B34</f>
        <v>0.208625877632899</v>
      </c>
      <c r="C35" s="33" t="n">
        <f aca="false">C30/C34</f>
        <v>4.20325203252033</v>
      </c>
      <c r="D35" s="33" t="n">
        <f aca="false">D30/D34</f>
        <v>6.36242299794661</v>
      </c>
      <c r="E35" s="33" t="n">
        <f aca="false">E30/E34</f>
        <v>7.80020920502092</v>
      </c>
      <c r="F35" s="33" t="n">
        <f aca="false">F30/F34</f>
        <v>7.94560763742244</v>
      </c>
      <c r="G35" s="33" t="n">
        <f aca="false">G30/G34</f>
        <v>9.71439186707335</v>
      </c>
      <c r="H35" s="33" t="n">
        <f aca="false">H30/H34</f>
        <v>11.7133215124883</v>
      </c>
      <c r="I35" s="33" t="n">
        <f aca="false">I30/I34</f>
        <v>13.9787666143449</v>
      </c>
      <c r="J35" s="33" t="n">
        <f aca="false">J30/J34</f>
        <v>16.3916779153732</v>
      </c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21" t="s">
        <v>176</v>
      </c>
      <c r="B37" s="22"/>
      <c r="C37" s="22"/>
      <c r="D37" s="22"/>
      <c r="E37" s="22"/>
      <c r="F37" s="22"/>
      <c r="G37" s="22"/>
      <c r="H37" s="22"/>
      <c r="I37" s="22"/>
      <c r="J37" s="22"/>
      <c r="K37" s="3"/>
    </row>
    <row r="38" customFormat="false" ht="15" hidden="false" customHeight="true" outlineLevel="0" collapsed="false">
      <c r="A38" s="7" t="s">
        <v>177</v>
      </c>
      <c r="B38" s="27" t="n">
        <v>3279</v>
      </c>
      <c r="C38" s="27" t="n">
        <v>2787</v>
      </c>
      <c r="D38" s="27" t="n">
        <v>3183</v>
      </c>
      <c r="E38" s="27" t="n">
        <v>3509</v>
      </c>
      <c r="F38" s="28" t="n">
        <f aca="false">F7*Assumptions!F34</f>
        <v>3835.84168</v>
      </c>
      <c r="G38" s="28" t="n">
        <f aca="false">G7*Assumptions!G34</f>
        <v>4265.2815884</v>
      </c>
      <c r="H38" s="28" t="n">
        <f aca="false">H7*Assumptions!H34</f>
        <v>4673.815266232</v>
      </c>
      <c r="I38" s="28" t="n">
        <f aca="false">I7*Assumptions!I34</f>
        <v>5121.16397290736</v>
      </c>
      <c r="J38" s="28" t="n">
        <f aca="false">J7*Assumptions!J34</f>
        <v>5564.07258054922</v>
      </c>
      <c r="K38" s="3"/>
    </row>
    <row r="39" customFormat="false" ht="15" hidden="false" customHeight="true" outlineLevel="0" collapsed="false">
      <c r="A39" s="7" t="s">
        <v>178</v>
      </c>
      <c r="B39" s="3"/>
      <c r="C39" s="3"/>
      <c r="D39" s="27" t="n">
        <v>1651</v>
      </c>
      <c r="E39" s="27" t="n">
        <v>1687</v>
      </c>
      <c r="F39" s="28" t="n">
        <f aca="false">MIN(Assumptions!F35,BS!E14)</f>
        <v>1900</v>
      </c>
      <c r="G39" s="28" t="n">
        <f aca="false">MIN(Assumptions!G35,BS!F14)</f>
        <v>1700</v>
      </c>
      <c r="H39" s="28" t="n">
        <f aca="false">MIN(Assumptions!H35,BS!G14)</f>
        <v>1500</v>
      </c>
      <c r="I39" s="28" t="n">
        <f aca="false">MIN(Assumptions!I35,BS!H14)</f>
        <v>1200</v>
      </c>
      <c r="J39" s="28" t="n">
        <f aca="false">MIN(Assumptions!J35,BS!I14)</f>
        <v>515</v>
      </c>
      <c r="K39" s="3"/>
    </row>
    <row r="40" customFormat="false" ht="15" hidden="false" customHeight="true" outlineLevel="0" collapsed="false">
      <c r="A40" s="7" t="s">
        <v>179</v>
      </c>
      <c r="B40" s="3"/>
      <c r="C40" s="3"/>
      <c r="D40" s="28" t="n">
        <f aca="false">D41-D39</f>
        <v>1826</v>
      </c>
      <c r="E40" s="28" t="n">
        <f aca="false">E41-E39</f>
        <v>1944</v>
      </c>
      <c r="F40" s="28" t="n">
        <f aca="false">Assumptions!F36*BS!E10</f>
        <v>624</v>
      </c>
      <c r="G40" s="28" t="n">
        <f aca="false">Assumptions!G36*BS!F10</f>
        <v>637.84488</v>
      </c>
      <c r="H40" s="28" t="n">
        <f aca="false">Assumptions!H36*BS!G10</f>
        <v>664.4427084</v>
      </c>
      <c r="I40" s="28" t="n">
        <f aca="false">Assumptions!I36*BS!H10</f>
        <v>700.487248632</v>
      </c>
      <c r="J40" s="28" t="n">
        <f aca="false">Assumptions!J36*BS!I10</f>
        <v>745.49211117936</v>
      </c>
      <c r="K40" s="3"/>
    </row>
    <row r="41" customFormat="false" ht="15" hidden="false" customHeight="true" outlineLevel="0" collapsed="false">
      <c r="A41" s="7" t="s">
        <v>180</v>
      </c>
      <c r="B41" s="27" t="n">
        <v>3786</v>
      </c>
      <c r="C41" s="27" t="n">
        <v>3959</v>
      </c>
      <c r="D41" s="27" t="n">
        <v>3477</v>
      </c>
      <c r="E41" s="27" t="n">
        <v>3631</v>
      </c>
      <c r="F41" s="28" t="n">
        <f aca="false">F39+F40</f>
        <v>2524</v>
      </c>
      <c r="G41" s="28" t="n">
        <f aca="false">G39+G40</f>
        <v>2337.84488</v>
      </c>
      <c r="H41" s="28" t="n">
        <f aca="false">H39+H40</f>
        <v>2164.4427084</v>
      </c>
      <c r="I41" s="28" t="n">
        <f aca="false">I39+I40</f>
        <v>1900.487248632</v>
      </c>
      <c r="J41" s="28" t="n">
        <f aca="false">J39+J40</f>
        <v>1260.49211117936</v>
      </c>
      <c r="K41" s="3"/>
    </row>
    <row r="42" customFormat="false" ht="15" hidden="false" customHeight="true" outlineLevel="0" collapsed="false">
      <c r="A42" s="18" t="s">
        <v>181</v>
      </c>
      <c r="B42" s="28" t="n">
        <f aca="false">B21+B41</f>
        <v>4816</v>
      </c>
      <c r="C42" s="28" t="n">
        <f aca="false">C21+C41</f>
        <v>8970</v>
      </c>
      <c r="D42" s="28" t="n">
        <f aca="false">D21+D41</f>
        <v>10682</v>
      </c>
      <c r="E42" s="28" t="n">
        <f aca="false">E21+E41</f>
        <v>11962</v>
      </c>
      <c r="F42" s="28" t="n">
        <f aca="false">F21+F41</f>
        <v>11943.40658</v>
      </c>
      <c r="G42" s="28" t="n">
        <f aca="false">G21+G41</f>
        <v>13646.5135632</v>
      </c>
      <c r="H42" s="28" t="n">
        <f aca="false">H21+H41</f>
        <v>15125.82082256</v>
      </c>
      <c r="I42" s="28" t="n">
        <f aca="false">I21+I41</f>
        <v>16699.5728850563</v>
      </c>
      <c r="J42" s="28" t="n">
        <f aca="false">J21+J41</f>
        <v>17946.3596118318</v>
      </c>
      <c r="K42" s="3"/>
    </row>
    <row r="43" customFormat="false" ht="15" hidden="false" customHeight="true" outlineLevel="0" collapsed="false">
      <c r="A43" s="7" t="s">
        <v>182</v>
      </c>
      <c r="B43" s="3"/>
      <c r="C43" s="3"/>
      <c r="D43" s="28" t="n">
        <f aca="false">D21+D38+D39+D19</f>
        <v>12500</v>
      </c>
      <c r="E43" s="28" t="n">
        <f aca="false">E21+E38+E39+E19</f>
        <v>14113</v>
      </c>
      <c r="F43" s="28" t="n">
        <f aca="false">F21+F38+F39+F19</f>
        <v>15617.39786</v>
      </c>
      <c r="G43" s="28" t="n">
        <f aca="false">G21+G38+G39+G19</f>
        <v>17530.8949456</v>
      </c>
      <c r="H43" s="28" t="n">
        <f aca="false">H21+H38+H39+H19</f>
        <v>19416.748516912</v>
      </c>
      <c r="I43" s="28" t="n">
        <f aca="false">I21+I38+I39+I19</f>
        <v>21428.7534631213</v>
      </c>
      <c r="J43" s="28" t="n">
        <f aca="false">J21+J38+J39+J19</f>
        <v>23100.1251764154</v>
      </c>
      <c r="K43" s="3"/>
    </row>
    <row r="44" customFormat="false" ht="15" hidden="false" customHeight="true" outlineLevel="0" collapsed="false">
      <c r="A44" s="7" t="s">
        <v>183</v>
      </c>
      <c r="B44" s="3"/>
      <c r="C44" s="3"/>
      <c r="D44" s="29" t="n">
        <f aca="false">D43/D7</f>
        <v>0.329858820424858</v>
      </c>
      <c r="E44" s="29" t="n">
        <f aca="false">E43/E7</f>
        <v>0.339867549668874</v>
      </c>
      <c r="F44" s="29" t="n">
        <f aca="false">F43/F7</f>
        <v>0.337929489931399</v>
      </c>
      <c r="G44" s="29" t="n">
        <f aca="false">G43/G7</f>
        <v>0.341141434704344</v>
      </c>
      <c r="H44" s="29" t="n">
        <f aca="false">H43/H7</f>
        <v>0.344812542880615</v>
      </c>
      <c r="I44" s="29" t="n">
        <f aca="false">I43/I7</f>
        <v>0.347301228167732</v>
      </c>
      <c r="J44" s="29" t="n">
        <f aca="false">J43/J7</f>
        <v>0.344587595126811</v>
      </c>
      <c r="K4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0" min="2" style="1" width="12.5"/>
  </cols>
  <sheetData>
    <row r="1" customFormat="false" ht="17.25" hidden="false" customHeight="true" outlineLevel="0" collapsed="false">
      <c r="A1" s="2" t="s">
        <v>184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185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5" t="s">
        <v>40</v>
      </c>
      <c r="B4" s="20" t="s">
        <v>128</v>
      </c>
      <c r="C4" s="20" t="s">
        <v>129</v>
      </c>
      <c r="D4" s="20" t="s">
        <v>130</v>
      </c>
      <c r="E4" s="20" t="s">
        <v>131</v>
      </c>
      <c r="F4" s="20" t="s">
        <v>41</v>
      </c>
      <c r="G4" s="20" t="s">
        <v>42</v>
      </c>
      <c r="H4" s="20" t="s">
        <v>43</v>
      </c>
      <c r="I4" s="20" t="s">
        <v>44</v>
      </c>
      <c r="J4" s="20" t="s">
        <v>45</v>
      </c>
    </row>
    <row r="5" customFormat="false" ht="15" hidden="false" customHeight="true" outlineLevel="0" collapsed="false">
      <c r="A5" s="7" t="s">
        <v>186</v>
      </c>
      <c r="B5" s="3"/>
      <c r="C5" s="3"/>
      <c r="D5" s="27" t="n">
        <v>8848</v>
      </c>
      <c r="E5" s="27" t="n">
        <v>7327</v>
      </c>
      <c r="F5" s="32" t="n">
        <f aca="false">CF!F30</f>
        <v>15727.0747355025</v>
      </c>
      <c r="G5" s="32" t="n">
        <f aca="false">CF!G30</f>
        <v>22778.3423115682</v>
      </c>
      <c r="H5" s="32" t="n">
        <f aca="false">CF!H30</f>
        <v>30551.9375996511</v>
      </c>
      <c r="I5" s="32" t="n">
        <f aca="false">CF!I30</f>
        <v>39192.3872970024</v>
      </c>
      <c r="J5" s="32" t="n">
        <f aca="false">CF!J30</f>
        <v>48469.3169993497</v>
      </c>
    </row>
    <row r="6" customFormat="false" ht="15" hidden="false" customHeight="true" outlineLevel="0" collapsed="false">
      <c r="A6" s="7" t="s">
        <v>187</v>
      </c>
      <c r="B6" s="3"/>
      <c r="C6" s="3"/>
      <c r="D6" s="27" t="n">
        <v>5184</v>
      </c>
      <c r="E6" s="27" t="n">
        <v>2238</v>
      </c>
      <c r="F6" s="28" t="n">
        <f aca="false">E6</f>
        <v>2238</v>
      </c>
      <c r="G6" s="28" t="n">
        <f aca="false">F6</f>
        <v>2238</v>
      </c>
      <c r="H6" s="28" t="n">
        <f aca="false">G6</f>
        <v>2238</v>
      </c>
      <c r="I6" s="28" t="n">
        <f aca="false">H6</f>
        <v>2238</v>
      </c>
      <c r="J6" s="28" t="n">
        <f aca="false">I6</f>
        <v>2238</v>
      </c>
    </row>
    <row r="7" customFormat="false" ht="15" hidden="false" customHeight="true" outlineLevel="0" collapsed="false">
      <c r="A7" s="7" t="s">
        <v>188</v>
      </c>
      <c r="B7" s="3"/>
      <c r="C7" s="3"/>
      <c r="D7" s="27" t="n">
        <v>11945</v>
      </c>
      <c r="E7" s="27" t="n">
        <v>14339</v>
      </c>
      <c r="F7" s="28" t="n">
        <f aca="false">IS!F7*Assumptions!F43/365</f>
        <v>15953.6574246575</v>
      </c>
      <c r="G7" s="28" t="n">
        <f aca="false">IS!G7*Assumptions!G43/365</f>
        <v>17739.7418761644</v>
      </c>
      <c r="H7" s="28" t="n">
        <f aca="false">IS!H7*Assumptions!H43/365</f>
        <v>19438.8751789151</v>
      </c>
      <c r="I7" s="28" t="n">
        <f aca="false">IS!I7*Assumptions!I43/365</f>
        <v>21299.4441520491</v>
      </c>
      <c r="J7" s="28" t="n">
        <f aca="false">IS!J7*Assumptions!J43/365</f>
        <v>23141.5462996931</v>
      </c>
    </row>
    <row r="8" customFormat="false" ht="15" hidden="false" customHeight="true" outlineLevel="0" collapsed="false">
      <c r="A8" s="7" t="s">
        <v>189</v>
      </c>
      <c r="B8" s="3"/>
      <c r="C8" s="3"/>
      <c r="D8" s="27" t="n">
        <v>1779</v>
      </c>
      <c r="E8" s="27" t="n">
        <v>2243</v>
      </c>
      <c r="F8" s="28" t="n">
        <f aca="false">IS!F7*Assumptions!F45</f>
        <v>2495.60784</v>
      </c>
      <c r="G8" s="28" t="n">
        <f aca="false">IS!G7*Assumptions!G45</f>
        <v>2775.0024792</v>
      </c>
      <c r="H8" s="28" t="n">
        <f aca="false">IS!H7*Assumptions!H45</f>
        <v>3040.795474416</v>
      </c>
      <c r="I8" s="28" t="n">
        <f aca="false">IS!I7*Assumptions!I45</f>
        <v>3331.84162092768</v>
      </c>
      <c r="J8" s="28" t="n">
        <f aca="false">IS!J7*Assumptions!J45</f>
        <v>3619.99902830913</v>
      </c>
    </row>
    <row r="9" customFormat="false" ht="15" hidden="false" customHeight="true" outlineLevel="0" collapsed="false">
      <c r="A9" s="7" t="s">
        <v>190</v>
      </c>
      <c r="B9" s="3"/>
      <c r="C9" s="3"/>
      <c r="D9" s="27" t="n">
        <v>4446</v>
      </c>
      <c r="E9" s="27" t="n">
        <v>5060</v>
      </c>
      <c r="F9" s="28" t="n">
        <f aca="false">IS!F7*Assumptions!F44</f>
        <v>5638.22512</v>
      </c>
      <c r="G9" s="28" t="n">
        <f aca="false">IS!G7*Assumptions!G44</f>
        <v>6269.4500456</v>
      </c>
      <c r="H9" s="28" t="n">
        <f aca="false">IS!H7*Assumptions!H44</f>
        <v>6869.945331088</v>
      </c>
      <c r="I9" s="28" t="n">
        <f aca="false">IS!I7*Assumptions!I44</f>
        <v>7527.49403246624</v>
      </c>
      <c r="J9" s="28" t="n">
        <f aca="false">IS!J7*Assumptions!J44</f>
        <v>8178.51632321692</v>
      </c>
    </row>
    <row r="10" customFormat="false" ht="15" hidden="false" customHeight="true" outlineLevel="0" collapsed="false">
      <c r="A10" s="7" t="s">
        <v>191</v>
      </c>
      <c r="B10" s="3"/>
      <c r="C10" s="3"/>
      <c r="D10" s="27" t="n">
        <v>3236</v>
      </c>
      <c r="E10" s="27" t="n">
        <v>3120</v>
      </c>
      <c r="F10" s="28" t="n">
        <f aca="false">E10-CF!F16-IS!F40</f>
        <v>3189.2244</v>
      </c>
      <c r="G10" s="28" t="n">
        <f aca="false">F10-CF!G16-IS!G40</f>
        <v>3322.213542</v>
      </c>
      <c r="H10" s="28" t="n">
        <f aca="false">G10-CF!H16-IS!H40</f>
        <v>3502.43624316</v>
      </c>
      <c r="I10" s="28" t="n">
        <f aca="false">H10-CF!I16-IS!I40</f>
        <v>3727.4605558968</v>
      </c>
      <c r="J10" s="28" t="n">
        <f aca="false">I10-CF!J16-IS!J40</f>
        <v>3987.52373035886</v>
      </c>
    </row>
    <row r="11" customFormat="false" ht="15" hidden="false" customHeight="true" outlineLevel="0" collapsed="false">
      <c r="A11" s="7" t="s">
        <v>192</v>
      </c>
      <c r="B11" s="3"/>
      <c r="C11" s="3"/>
      <c r="D11" s="27" t="n">
        <v>2157</v>
      </c>
      <c r="E11" s="27" t="n">
        <v>2003</v>
      </c>
      <c r="F11" s="28" t="n">
        <f aca="false">E11</f>
        <v>2003</v>
      </c>
      <c r="G11" s="28" t="n">
        <f aca="false">F11</f>
        <v>2003</v>
      </c>
      <c r="H11" s="28" t="n">
        <f aca="false">G11</f>
        <v>2003</v>
      </c>
      <c r="I11" s="28" t="n">
        <f aca="false">H11</f>
        <v>2003</v>
      </c>
      <c r="J11" s="28" t="n">
        <f aca="false">I11</f>
        <v>2003</v>
      </c>
    </row>
    <row r="12" customFormat="false" ht="15" hidden="false" customHeight="true" outlineLevel="0" collapsed="false">
      <c r="A12" s="7" t="s">
        <v>193</v>
      </c>
      <c r="B12" s="3"/>
      <c r="C12" s="3"/>
      <c r="D12" s="27" t="n">
        <v>4852</v>
      </c>
      <c r="E12" s="27" t="n">
        <v>7591</v>
      </c>
      <c r="F12" s="28" t="n">
        <f aca="false">E12</f>
        <v>7591</v>
      </c>
      <c r="G12" s="28" t="n">
        <f aca="false">F12</f>
        <v>7591</v>
      </c>
      <c r="H12" s="28" t="n">
        <f aca="false">G12</f>
        <v>7591</v>
      </c>
      <c r="I12" s="28" t="n">
        <f aca="false">H12</f>
        <v>7591</v>
      </c>
      <c r="J12" s="28" t="n">
        <f aca="false">I12</f>
        <v>7591</v>
      </c>
    </row>
    <row r="13" customFormat="false" ht="15" hidden="false" customHeight="true" outlineLevel="0" collapsed="false">
      <c r="A13" s="7" t="s">
        <v>194</v>
      </c>
      <c r="B13" s="3"/>
      <c r="C13" s="3"/>
      <c r="D13" s="27" t="n">
        <v>51283</v>
      </c>
      <c r="E13" s="27" t="n">
        <v>57941</v>
      </c>
      <c r="F13" s="28" t="n">
        <f aca="false">E13-CF!F17</f>
        <v>59445</v>
      </c>
      <c r="G13" s="28" t="n">
        <f aca="false">F13-CF!G17</f>
        <v>59445</v>
      </c>
      <c r="H13" s="28" t="n">
        <f aca="false">G13-CF!H17</f>
        <v>59445</v>
      </c>
      <c r="I13" s="28" t="n">
        <f aca="false">H13-CF!I17</f>
        <v>59445</v>
      </c>
      <c r="J13" s="28" t="n">
        <f aca="false">I13-CF!J17</f>
        <v>59445</v>
      </c>
    </row>
    <row r="14" customFormat="false" ht="15" hidden="false" customHeight="true" outlineLevel="0" collapsed="false">
      <c r="A14" s="7" t="s">
        <v>195</v>
      </c>
      <c r="B14" s="3"/>
      <c r="C14" s="3"/>
      <c r="D14" s="27" t="n">
        <v>4428</v>
      </c>
      <c r="E14" s="27" t="n">
        <v>6815</v>
      </c>
      <c r="F14" s="28" t="n">
        <f aca="false">E14-IS!F39</f>
        <v>4915</v>
      </c>
      <c r="G14" s="28" t="n">
        <f aca="false">F14-IS!G39</f>
        <v>3215</v>
      </c>
      <c r="H14" s="28" t="n">
        <f aca="false">G14-IS!H39</f>
        <v>1715</v>
      </c>
      <c r="I14" s="28" t="n">
        <f aca="false">H14-IS!I39</f>
        <v>515</v>
      </c>
      <c r="J14" s="28" t="n">
        <f aca="false">I14-IS!J39</f>
        <v>0</v>
      </c>
    </row>
    <row r="15" customFormat="false" ht="15" hidden="false" customHeight="true" outlineLevel="0" collapsed="false">
      <c r="A15" s="7" t="s">
        <v>196</v>
      </c>
      <c r="B15" s="3"/>
      <c r="C15" s="3"/>
      <c r="D15" s="27" t="n">
        <v>4770</v>
      </c>
      <c r="E15" s="27" t="n">
        <v>3628</v>
      </c>
      <c r="F15" s="28" t="n">
        <f aca="false">E15</f>
        <v>3628</v>
      </c>
      <c r="G15" s="28" t="n">
        <f aca="false">F15</f>
        <v>3628</v>
      </c>
      <c r="H15" s="28" t="n">
        <f aca="false">G15</f>
        <v>3628</v>
      </c>
      <c r="I15" s="28" t="n">
        <f aca="false">H15</f>
        <v>3628</v>
      </c>
      <c r="J15" s="28" t="n">
        <f aca="false">I15</f>
        <v>3628</v>
      </c>
    </row>
    <row r="16" customFormat="false" ht="15" hidden="false" customHeight="true" outlineLevel="0" collapsed="false">
      <c r="A16" s="18" t="s">
        <v>197</v>
      </c>
      <c r="B16" s="3"/>
      <c r="C16" s="3"/>
      <c r="D16" s="31" t="n">
        <f aca="false">SUM(D5:D15)</f>
        <v>102928</v>
      </c>
      <c r="E16" s="31" t="n">
        <f aca="false">SUM(E5:E15)</f>
        <v>112305</v>
      </c>
      <c r="F16" s="31" t="n">
        <f aca="false">SUM(F5:F15)</f>
        <v>122823.78952016</v>
      </c>
      <c r="G16" s="31" t="n">
        <f aca="false">SUM(G5:G15)</f>
        <v>131004.750254533</v>
      </c>
      <c r="H16" s="31" t="n">
        <f aca="false">SUM(H5:H15)</f>
        <v>140023.98982723</v>
      </c>
      <c r="I16" s="31" t="n">
        <f aca="false">SUM(I5:I15)</f>
        <v>150498.627658342</v>
      </c>
      <c r="J16" s="31" t="n">
        <f aca="false">SUM(J5:J15)</f>
        <v>162301.902380928</v>
      </c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true" outlineLevel="0" collapsed="false">
      <c r="A18" s="7" t="s">
        <v>198</v>
      </c>
      <c r="B18" s="3"/>
      <c r="C18" s="3"/>
      <c r="D18" s="27" t="n">
        <v>6658</v>
      </c>
      <c r="E18" s="27" t="n">
        <v>8253</v>
      </c>
      <c r="F18" s="28" t="n">
        <f aca="false">IS!F7*Assumptions!F46</f>
        <v>9196.77704</v>
      </c>
      <c r="G18" s="28" t="n">
        <f aca="false">IS!G7*Assumptions!G46</f>
        <v>10226.3980252</v>
      </c>
      <c r="H18" s="28" t="n">
        <f aca="false">IS!H7*Assumptions!H46</f>
        <v>11205.894433496</v>
      </c>
      <c r="I18" s="28" t="n">
        <f aca="false">IS!I7*Assumptions!I46</f>
        <v>12278.4533808261</v>
      </c>
      <c r="J18" s="28" t="n">
        <f aca="false">IS!J7*Assumptions!J46</f>
        <v>13340.3667895096</v>
      </c>
    </row>
    <row r="19" customFormat="false" ht="15" hidden="false" customHeight="true" outlineLevel="0" collapsed="false">
      <c r="A19" s="7" t="s">
        <v>199</v>
      </c>
      <c r="B19" s="3"/>
      <c r="C19" s="3"/>
      <c r="D19" s="27" t="n">
        <v>20743</v>
      </c>
      <c r="E19" s="27" t="n">
        <v>24317</v>
      </c>
      <c r="F19" s="28" t="n">
        <f aca="false">IS!F7*Assumptions!F47</f>
        <v>27035.7516</v>
      </c>
      <c r="G19" s="28" t="n">
        <f aca="false">IS!G7*Assumptions!G47</f>
        <v>30062.526858</v>
      </c>
      <c r="H19" s="28" t="n">
        <f aca="false">IS!H7*Assumptions!H47</f>
        <v>32941.95097284</v>
      </c>
      <c r="I19" s="28" t="n">
        <f aca="false">IS!I7*Assumptions!I47</f>
        <v>36094.9508933832</v>
      </c>
      <c r="J19" s="28" t="n">
        <f aca="false">IS!J7*Assumptions!J47</f>
        <v>39216.6561400155</v>
      </c>
    </row>
    <row r="20" customFormat="false" ht="15" hidden="false" customHeight="true" outlineLevel="0" collapsed="false">
      <c r="A20" s="7" t="s">
        <v>200</v>
      </c>
      <c r="B20" s="3"/>
      <c r="C20" s="3"/>
      <c r="D20" s="27" t="n">
        <v>2959</v>
      </c>
      <c r="E20" s="27" t="n">
        <v>2737</v>
      </c>
      <c r="F20" s="28" t="n">
        <f aca="false">E20</f>
        <v>2737</v>
      </c>
      <c r="G20" s="28" t="n">
        <f aca="false">F20</f>
        <v>2737</v>
      </c>
      <c r="H20" s="28" t="n">
        <f aca="false">G20</f>
        <v>2737</v>
      </c>
      <c r="I20" s="28" t="n">
        <f aca="false">H20</f>
        <v>2737</v>
      </c>
      <c r="J20" s="28" t="n">
        <f aca="false">I20</f>
        <v>2737</v>
      </c>
    </row>
    <row r="21" customFormat="false" ht="15" hidden="false" customHeight="true" outlineLevel="0" collapsed="false">
      <c r="A21" s="7" t="s">
        <v>201</v>
      </c>
      <c r="B21" s="3"/>
      <c r="C21" s="3"/>
      <c r="D21" s="27" t="n">
        <v>8433</v>
      </c>
      <c r="E21" s="27" t="n">
        <v>14439</v>
      </c>
      <c r="F21" s="28" t="n">
        <f aca="false">E21+CF!F21+CF!F22</f>
        <v>39281</v>
      </c>
      <c r="G21" s="28" t="n">
        <f aca="false">F21+CF!G21+CF!G22</f>
        <v>39281</v>
      </c>
      <c r="H21" s="28" t="n">
        <f aca="false">G21+CF!H21+CF!H22</f>
        <v>39281</v>
      </c>
      <c r="I21" s="28" t="n">
        <f aca="false">H21+CF!I21+CF!I22</f>
        <v>39281</v>
      </c>
      <c r="J21" s="28" t="n">
        <f aca="false">I21+CF!J21+CF!J22</f>
        <v>39281</v>
      </c>
    </row>
    <row r="22" customFormat="false" ht="15" hidden="false" customHeight="true" outlineLevel="0" collapsed="false">
      <c r="A22" s="7" t="s">
        <v>202</v>
      </c>
      <c r="B22" s="3"/>
      <c r="C22" s="3"/>
      <c r="D22" s="27" t="n">
        <v>2962</v>
      </c>
      <c r="E22" s="27" t="n">
        <v>3417</v>
      </c>
      <c r="F22" s="28" t="n">
        <f aca="false">E22</f>
        <v>3417</v>
      </c>
      <c r="G22" s="28" t="n">
        <f aca="false">F22</f>
        <v>3417</v>
      </c>
      <c r="H22" s="28" t="n">
        <f aca="false">G22</f>
        <v>3417</v>
      </c>
      <c r="I22" s="28" t="n">
        <f aca="false">H22</f>
        <v>3417</v>
      </c>
      <c r="J22" s="28" t="n">
        <f aca="false">I22</f>
        <v>3417</v>
      </c>
    </row>
    <row r="23" customFormat="false" ht="15" hidden="false" customHeight="true" outlineLevel="0" collapsed="false">
      <c r="A23" s="18" t="s">
        <v>203</v>
      </c>
      <c r="B23" s="3"/>
      <c r="C23" s="3"/>
      <c r="D23" s="31" t="n">
        <f aca="false">SUM(D18:D22)</f>
        <v>41755</v>
      </c>
      <c r="E23" s="31" t="n">
        <f aca="false">SUM(E18:E22)</f>
        <v>53163</v>
      </c>
      <c r="F23" s="31" t="n">
        <f aca="false">SUM(F18:F22)</f>
        <v>81667.52864</v>
      </c>
      <c r="G23" s="31" t="n">
        <f aca="false">SUM(G18:G22)</f>
        <v>85723.9248832</v>
      </c>
      <c r="H23" s="31" t="n">
        <f aca="false">SUM(H18:H22)</f>
        <v>89582.845406336</v>
      </c>
      <c r="I23" s="31" t="n">
        <f aca="false">SUM(I18:I22)</f>
        <v>93808.4042742093</v>
      </c>
      <c r="J23" s="31" t="n">
        <f aca="false">SUM(J18:J22)</f>
        <v>97992.0229295251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5" hidden="false" customHeight="true" outlineLevel="0" collapsed="false">
      <c r="A25" s="7" t="s">
        <v>204</v>
      </c>
      <c r="B25" s="3"/>
      <c r="C25" s="3"/>
      <c r="D25" s="27" t="n">
        <v>64311</v>
      </c>
      <c r="E25" s="27" t="n">
        <v>69149</v>
      </c>
      <c r="F25" s="28" t="n">
        <f aca="false">E25+IS!F38+CF!F25</f>
        <v>73984.84168</v>
      </c>
      <c r="G25" s="28" t="n">
        <f aca="false">F25+IS!G38+CF!G25</f>
        <v>79250.1232684</v>
      </c>
      <c r="H25" s="28" t="n">
        <f aca="false">G25+IS!H38+CF!H25</f>
        <v>84923.938534632</v>
      </c>
      <c r="I25" s="28" t="n">
        <f aca="false">H25+IS!I38+CF!I25</f>
        <v>91045.1025075394</v>
      </c>
      <c r="J25" s="28" t="n">
        <f aca="false">I25+IS!J38+CF!J25</f>
        <v>97609.1750880886</v>
      </c>
    </row>
    <row r="26" customFormat="false" ht="15" hidden="false" customHeight="true" outlineLevel="0" collapsed="false">
      <c r="A26" s="7" t="s">
        <v>205</v>
      </c>
      <c r="B26" s="3"/>
      <c r="C26" s="3"/>
      <c r="D26" s="27" t="n">
        <v>-19507</v>
      </c>
      <c r="E26" s="27" t="n">
        <v>-32228</v>
      </c>
      <c r="F26" s="28" t="n">
        <f aca="false">E26+CF!F23</f>
        <v>-60228</v>
      </c>
      <c r="G26" s="28" t="n">
        <f aca="false">F26+CF!G23</f>
        <v>-67833.2675760658</v>
      </c>
      <c r="H26" s="28" t="n">
        <f aca="false">G26+CF!H23</f>
        <v>-76238.5628641486</v>
      </c>
      <c r="I26" s="28" t="n">
        <f aca="false">H26+CF!I23</f>
        <v>-85592.2975615</v>
      </c>
      <c r="J26" s="28" t="n">
        <f aca="false">I26+CF!J23</f>
        <v>-95668.1765138472</v>
      </c>
    </row>
    <row r="27" customFormat="false" ht="15" hidden="false" customHeight="true" outlineLevel="0" collapsed="false">
      <c r="A27" s="7" t="s">
        <v>206</v>
      </c>
      <c r="B27" s="3"/>
      <c r="C27" s="3"/>
      <c r="D27" s="27" t="n">
        <v>16369</v>
      </c>
      <c r="E27" s="27" t="n">
        <v>22221</v>
      </c>
      <c r="F27" s="28" t="n">
        <f aca="false">E27+IS!F30+CF!F24</f>
        <v>27399.41920016</v>
      </c>
      <c r="G27" s="28" t="n">
        <f aca="false">F27+IS!G30+CF!G24</f>
        <v>33863.9696789984</v>
      </c>
      <c r="H27" s="28" t="n">
        <f aca="false">G27+IS!H30+CF!H24</f>
        <v>41755.7687504108</v>
      </c>
      <c r="I27" s="28" t="n">
        <f aca="false">H27+IS!I30+CF!I24</f>
        <v>51237.4184380936</v>
      </c>
      <c r="J27" s="28" t="n">
        <f aca="false">I27+IS!J30+CF!J24</f>
        <v>62368.8808771612</v>
      </c>
    </row>
    <row r="28" customFormat="false" ht="15" hidden="false" customHeight="true" outlineLevel="0" collapsed="false">
      <c r="A28" s="18" t="s">
        <v>207</v>
      </c>
      <c r="B28" s="3"/>
      <c r="C28" s="3"/>
      <c r="D28" s="31" t="n">
        <f aca="false">SUM(D25:D27)</f>
        <v>61173</v>
      </c>
      <c r="E28" s="31" t="n">
        <f aca="false">SUM(E25:E27)</f>
        <v>59142</v>
      </c>
      <c r="F28" s="31" t="n">
        <f aca="false">SUM(F25:F27)</f>
        <v>41156.26088016</v>
      </c>
      <c r="G28" s="31" t="n">
        <f aca="false">SUM(G25:G27)</f>
        <v>45280.8253713326</v>
      </c>
      <c r="H28" s="31" t="n">
        <f aca="false">SUM(H25:H27)</f>
        <v>50441.1444208942</v>
      </c>
      <c r="I28" s="31" t="n">
        <f aca="false">SUM(I25:I27)</f>
        <v>56690.223384133</v>
      </c>
      <c r="J28" s="31" t="n">
        <f aca="false">SUM(J25:J27)</f>
        <v>64309.8794514026</v>
      </c>
    </row>
    <row r="29" customFormat="false" ht="15" hidden="false" customHeight="true" outlineLevel="0" collapsed="false">
      <c r="A29" s="18" t="s">
        <v>208</v>
      </c>
      <c r="B29" s="3"/>
      <c r="C29" s="3"/>
      <c r="D29" s="28" t="n">
        <f aca="false">D23+D28</f>
        <v>102928</v>
      </c>
      <c r="E29" s="28" t="n">
        <f aca="false">E23+E28</f>
        <v>112305</v>
      </c>
      <c r="F29" s="28" t="n">
        <f aca="false">F23+F28</f>
        <v>122823.78952016</v>
      </c>
      <c r="G29" s="28" t="n">
        <f aca="false">G23+G28</f>
        <v>131004.750254533</v>
      </c>
      <c r="H29" s="28" t="n">
        <f aca="false">H23+H28</f>
        <v>140023.98982723</v>
      </c>
      <c r="I29" s="28" t="n">
        <f aca="false">I23+I28</f>
        <v>150498.627658342</v>
      </c>
      <c r="J29" s="28" t="n">
        <f aca="false">J23+J28</f>
        <v>162301.902380928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5" hidden="false" customHeight="true" outlineLevel="0" collapsed="false">
      <c r="A31" s="18" t="s">
        <v>209</v>
      </c>
      <c r="B31" s="3"/>
      <c r="C31" s="3"/>
      <c r="D31" s="34" t="n">
        <f aca="false">ROUND(D16-D29,3)</f>
        <v>0</v>
      </c>
      <c r="E31" s="34" t="n">
        <f aca="false">ROUND(E16-E29,3)</f>
        <v>0</v>
      </c>
      <c r="F31" s="34" t="n">
        <f aca="false">ROUND(F16-F29,3)</f>
        <v>0</v>
      </c>
      <c r="G31" s="34" t="n">
        <f aca="false">ROUND(G16-G29,3)</f>
        <v>0</v>
      </c>
      <c r="H31" s="34" t="n">
        <f aca="false">ROUND(H16-H29,3)</f>
        <v>0</v>
      </c>
      <c r="I31" s="34" t="n">
        <f aca="false">ROUND(I16-I29,3)</f>
        <v>0</v>
      </c>
      <c r="J31" s="34" t="n">
        <f aca="false">ROUND(J16-J29,3)</f>
        <v>0</v>
      </c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customFormat="false" ht="15" hidden="false" customHeight="true" outlineLevel="0" collapsed="false">
      <c r="A33" s="7" t="s">
        <v>210</v>
      </c>
      <c r="B33" s="3"/>
      <c r="C33" s="3"/>
      <c r="D33" s="28" t="n">
        <f aca="false">D5+D6-D21</f>
        <v>5599</v>
      </c>
      <c r="E33" s="28" t="n">
        <f aca="false">E5+E6-E21</f>
        <v>-4874</v>
      </c>
      <c r="F33" s="28" t="n">
        <f aca="false">F5+F6-F21</f>
        <v>-21315.9252644975</v>
      </c>
      <c r="G33" s="28" t="n">
        <f aca="false">G5+G6-G21</f>
        <v>-14264.6576884318</v>
      </c>
      <c r="H33" s="28" t="n">
        <f aca="false">H5+H6-H21</f>
        <v>-6491.06240034892</v>
      </c>
      <c r="I33" s="28" t="n">
        <f aca="false">I5+I6-I21</f>
        <v>2149.38729700244</v>
      </c>
      <c r="J33" s="28" t="n">
        <f aca="false">J5+J6-J21</f>
        <v>11426.3169993497</v>
      </c>
    </row>
    <row r="34" customFormat="false" ht="15" hidden="false" customHeight="true" outlineLevel="0" collapsed="false">
      <c r="A34" s="7" t="s">
        <v>211</v>
      </c>
      <c r="B34" s="3"/>
      <c r="C34" s="3"/>
      <c r="D34" s="35" t="n">
        <f aca="false">D21/IS!D42</f>
        <v>0.789458902827186</v>
      </c>
      <c r="E34" s="35" t="n">
        <f aca="false">E21/IS!E42</f>
        <v>1.20707239592041</v>
      </c>
      <c r="F34" s="35" t="n">
        <f aca="false">F21/IS!F42</f>
        <v>3.28892763860007</v>
      </c>
      <c r="G34" s="35" t="n">
        <f aca="false">G21/IS!G42</f>
        <v>2.87846414529844</v>
      </c>
      <c r="H34" s="35" t="n">
        <f aca="false">H21/IS!H42</f>
        <v>2.5969499745371</v>
      </c>
      <c r="I34" s="35" t="n">
        <f aca="false">I21/IS!I42</f>
        <v>2.35221584829578</v>
      </c>
      <c r="J34" s="35" t="n">
        <f aca="false">J21/IS!J42</f>
        <v>2.188800450321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0" min="2" style="1" width="12.5"/>
  </cols>
  <sheetData>
    <row r="1" customFormat="false" ht="17.25" hidden="false" customHeight="true" outlineLevel="0" collapsed="false">
      <c r="A1" s="2" t="s">
        <v>212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213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5" t="s">
        <v>40</v>
      </c>
      <c r="B4" s="20" t="s">
        <v>128</v>
      </c>
      <c r="C4" s="20" t="s">
        <v>129</v>
      </c>
      <c r="D4" s="20" t="s">
        <v>130</v>
      </c>
      <c r="E4" s="20" t="s">
        <v>131</v>
      </c>
      <c r="F4" s="20" t="s">
        <v>41</v>
      </c>
      <c r="G4" s="20" t="s">
        <v>42</v>
      </c>
      <c r="H4" s="20" t="s">
        <v>43</v>
      </c>
      <c r="I4" s="20" t="s">
        <v>44</v>
      </c>
      <c r="J4" s="20" t="s">
        <v>45</v>
      </c>
    </row>
    <row r="5" customFormat="false" ht="15" hidden="false" customHeight="true" outlineLevel="0" collapsed="false">
      <c r="A5" s="7" t="s">
        <v>214</v>
      </c>
      <c r="B5" s="32" t="n">
        <f aca="false">IS!B30</f>
        <v>208</v>
      </c>
      <c r="C5" s="32" t="n">
        <f aca="false">IS!C30</f>
        <v>4136</v>
      </c>
      <c r="D5" s="32" t="n">
        <f aca="false">IS!D30</f>
        <v>6197</v>
      </c>
      <c r="E5" s="32" t="n">
        <f aca="false">IS!E30</f>
        <v>7457</v>
      </c>
      <c r="F5" s="32" t="n">
        <f aca="false">IS!F30</f>
        <v>6658.41920016</v>
      </c>
      <c r="G5" s="32" t="n">
        <f aca="false">IS!G30</f>
        <v>8018.55047883836</v>
      </c>
      <c r="H5" s="32" t="n">
        <f aca="false">IS!H30</f>
        <v>9523.49907141239</v>
      </c>
      <c r="I5" s="32" t="n">
        <f aca="false">IS!I30</f>
        <v>11194.9346876828</v>
      </c>
      <c r="J5" s="32" t="n">
        <f aca="false">IS!J30</f>
        <v>12930.4116890676</v>
      </c>
    </row>
    <row r="6" customFormat="false" ht="15" hidden="false" customHeight="true" outlineLevel="0" collapsed="false">
      <c r="A6" s="7" t="s">
        <v>215</v>
      </c>
      <c r="B6" s="32" t="n">
        <f aca="false">IS!B41</f>
        <v>3786</v>
      </c>
      <c r="C6" s="32" t="n">
        <f aca="false">IS!C41</f>
        <v>3959</v>
      </c>
      <c r="D6" s="32" t="n">
        <f aca="false">IS!D41</f>
        <v>3477</v>
      </c>
      <c r="E6" s="32" t="n">
        <f aca="false">IS!E41</f>
        <v>3631</v>
      </c>
      <c r="F6" s="32" t="n">
        <f aca="false">IS!F41</f>
        <v>2524</v>
      </c>
      <c r="G6" s="32" t="n">
        <f aca="false">IS!G41</f>
        <v>2337.84488</v>
      </c>
      <c r="H6" s="32" t="n">
        <f aca="false">IS!H41</f>
        <v>2164.4427084</v>
      </c>
      <c r="I6" s="32" t="n">
        <f aca="false">IS!I41</f>
        <v>1900.487248632</v>
      </c>
      <c r="J6" s="32" t="n">
        <f aca="false">IS!J41</f>
        <v>1260.49211117936</v>
      </c>
    </row>
    <row r="7" customFormat="false" ht="15" hidden="false" customHeight="true" outlineLevel="0" collapsed="false">
      <c r="A7" s="7" t="s">
        <v>216</v>
      </c>
      <c r="B7" s="32" t="n">
        <f aca="false">IS!B38</f>
        <v>3279</v>
      </c>
      <c r="C7" s="32" t="n">
        <f aca="false">IS!C38</f>
        <v>2787</v>
      </c>
      <c r="D7" s="32" t="n">
        <f aca="false">IS!D38</f>
        <v>3183</v>
      </c>
      <c r="E7" s="32" t="n">
        <f aca="false">IS!E38</f>
        <v>3509</v>
      </c>
      <c r="F7" s="32" t="n">
        <f aca="false">IS!F38</f>
        <v>3835.84168</v>
      </c>
      <c r="G7" s="32" t="n">
        <f aca="false">IS!G38</f>
        <v>4265.2815884</v>
      </c>
      <c r="H7" s="32" t="n">
        <f aca="false">IS!H38</f>
        <v>4673.815266232</v>
      </c>
      <c r="I7" s="32" t="n">
        <f aca="false">IS!I38</f>
        <v>5121.16397290736</v>
      </c>
      <c r="J7" s="32" t="n">
        <f aca="false">IS!J38</f>
        <v>5564.07258054922</v>
      </c>
    </row>
    <row r="8" customFormat="false" ht="15" hidden="false" customHeight="true" outlineLevel="0" collapsed="false">
      <c r="A8" s="7" t="s">
        <v>217</v>
      </c>
      <c r="B8" s="3"/>
      <c r="C8" s="3"/>
      <c r="D8" s="3"/>
      <c r="E8" s="3"/>
      <c r="F8" s="28" t="n">
        <f aca="false">BS!E7-BS!F7</f>
        <v>-1614.65742465753</v>
      </c>
      <c r="G8" s="28" t="n">
        <f aca="false">BS!F7-BS!G7</f>
        <v>-1786.08445150685</v>
      </c>
      <c r="H8" s="28" t="n">
        <f aca="false">BS!G7-BS!H7</f>
        <v>-1699.13330275068</v>
      </c>
      <c r="I8" s="28" t="n">
        <f aca="false">BS!H7-BS!I7</f>
        <v>-1860.56897313403</v>
      </c>
      <c r="J8" s="28" t="n">
        <f aca="false">BS!I7-BS!J7</f>
        <v>-1842.10214764395</v>
      </c>
    </row>
    <row r="9" customFormat="false" ht="15" hidden="false" customHeight="true" outlineLevel="0" collapsed="false">
      <c r="A9" s="7" t="s">
        <v>218</v>
      </c>
      <c r="B9" s="3"/>
      <c r="C9" s="3"/>
      <c r="D9" s="3"/>
      <c r="E9" s="3"/>
      <c r="F9" s="28" t="n">
        <f aca="false">BS!E8-BS!F8</f>
        <v>-252.60784</v>
      </c>
      <c r="G9" s="28" t="n">
        <f aca="false">BS!F8-BS!G8</f>
        <v>-279.3946392</v>
      </c>
      <c r="H9" s="28" t="n">
        <f aca="false">BS!G8-BS!H8</f>
        <v>-265.792995216001</v>
      </c>
      <c r="I9" s="28" t="n">
        <f aca="false">BS!H8-BS!I8</f>
        <v>-291.04614651168</v>
      </c>
      <c r="J9" s="28" t="n">
        <f aca="false">BS!I8-BS!J8</f>
        <v>-288.157407381447</v>
      </c>
    </row>
    <row r="10" customFormat="false" ht="15" hidden="false" customHeight="true" outlineLevel="0" collapsed="false">
      <c r="A10" s="7" t="s">
        <v>219</v>
      </c>
      <c r="B10" s="3"/>
      <c r="C10" s="3"/>
      <c r="D10" s="3"/>
      <c r="E10" s="3"/>
      <c r="F10" s="28" t="n">
        <f aca="false">BS!E9-BS!F9</f>
        <v>-578.22512</v>
      </c>
      <c r="G10" s="28" t="n">
        <f aca="false">BS!F9-BS!G9</f>
        <v>-631.224925600001</v>
      </c>
      <c r="H10" s="28" t="n">
        <f aca="false">BS!G9-BS!H9</f>
        <v>-600.495285488</v>
      </c>
      <c r="I10" s="28" t="n">
        <f aca="false">BS!H9-BS!I9</f>
        <v>-657.54870137824</v>
      </c>
      <c r="J10" s="28" t="n">
        <f aca="false">BS!I9-BS!J9</f>
        <v>-651.022290750676</v>
      </c>
    </row>
    <row r="11" customFormat="false" ht="15" hidden="false" customHeight="true" outlineLevel="0" collapsed="false">
      <c r="A11" s="7" t="s">
        <v>220</v>
      </c>
      <c r="B11" s="3"/>
      <c r="C11" s="3"/>
      <c r="D11" s="3"/>
      <c r="E11" s="3"/>
      <c r="F11" s="28" t="n">
        <f aca="false">BS!F18-BS!E18</f>
        <v>943.777040000001</v>
      </c>
      <c r="G11" s="28" t="n">
        <f aca="false">BS!G18-BS!F18</f>
        <v>1029.6209852</v>
      </c>
      <c r="H11" s="28" t="n">
        <f aca="false">BS!H18-BS!G18</f>
        <v>979.496408296001</v>
      </c>
      <c r="I11" s="28" t="n">
        <f aca="false">BS!I18-BS!H18</f>
        <v>1072.55894733008</v>
      </c>
      <c r="J11" s="28" t="n">
        <f aca="false">BS!J18-BS!I18</f>
        <v>1061.91340868348</v>
      </c>
    </row>
    <row r="12" customFormat="false" ht="15" hidden="false" customHeight="true" outlineLevel="0" collapsed="false">
      <c r="A12" s="7" t="s">
        <v>221</v>
      </c>
      <c r="B12" s="27" t="n">
        <v>1744</v>
      </c>
      <c r="C12" s="27" t="n">
        <v>1623</v>
      </c>
      <c r="D12" s="27" t="n">
        <v>1584</v>
      </c>
      <c r="E12" s="27" t="n">
        <v>2924</v>
      </c>
      <c r="F12" s="28" t="n">
        <f aca="false">BS!F19-BS!E19</f>
        <v>2718.7516</v>
      </c>
      <c r="G12" s="28" t="n">
        <f aca="false">BS!G19-BS!F19</f>
        <v>3026.775258</v>
      </c>
      <c r="H12" s="28" t="n">
        <f aca="false">BS!H19-BS!G19</f>
        <v>2879.42411484</v>
      </c>
      <c r="I12" s="28" t="n">
        <f aca="false">BS!I19-BS!H19</f>
        <v>3152.9999205432</v>
      </c>
      <c r="J12" s="28" t="n">
        <f aca="false">BS!J19-BS!I19</f>
        <v>3121.70524663234</v>
      </c>
    </row>
    <row r="13" customFormat="false" ht="15" hidden="false" customHeight="true" outlineLevel="0" collapsed="false">
      <c r="A13" s="7" t="s">
        <v>222</v>
      </c>
      <c r="B13" s="28" t="n">
        <f aca="false">B15-SUM(B5:B12)</f>
        <v>-1906</v>
      </c>
      <c r="C13" s="28" t="n">
        <f aca="false">C15-SUM(C5:C12)</f>
        <v>-2271</v>
      </c>
      <c r="D13" s="28" t="n">
        <f aca="false">D15-SUM(D5:D12)</f>
        <v>-1349</v>
      </c>
      <c r="E13" s="28" t="n">
        <f aca="false">E15-SUM(E5:E12)</f>
        <v>-2525</v>
      </c>
      <c r="F13" s="28" t="n">
        <f aca="false">0</f>
        <v>0</v>
      </c>
      <c r="G13" s="28" t="n">
        <f aca="false">0</f>
        <v>0</v>
      </c>
      <c r="H13" s="28" t="n">
        <f aca="false">0</f>
        <v>0</v>
      </c>
      <c r="I13" s="28" t="n">
        <f aca="false">0</f>
        <v>0</v>
      </c>
      <c r="J13" s="28" t="n">
        <f aca="false">0</f>
        <v>0</v>
      </c>
    </row>
    <row r="14" customFormat="false" ht="15" hidden="false" customHeight="true" outlineLevel="0" collapsed="false">
      <c r="A14" s="18" t="s">
        <v>223</v>
      </c>
      <c r="B14" s="31" t="n">
        <f aca="false">SUM(B5:B13)</f>
        <v>7111</v>
      </c>
      <c r="C14" s="31" t="n">
        <f aca="false">SUM(C5:C13)</f>
        <v>10234</v>
      </c>
      <c r="D14" s="31" t="n">
        <f aca="false">SUM(D5:D13)</f>
        <v>13092</v>
      </c>
      <c r="E14" s="31" t="n">
        <f aca="false">SUM(E5:E13)</f>
        <v>14996</v>
      </c>
      <c r="F14" s="31" t="n">
        <f aca="false">SUM(F5:F13)</f>
        <v>14235.2991355025</v>
      </c>
      <c r="G14" s="31" t="n">
        <f aca="false">SUM(G5:G13)</f>
        <v>15981.3691741315</v>
      </c>
      <c r="H14" s="31" t="n">
        <f aca="false">SUM(H5:H13)</f>
        <v>17655.2559857257</v>
      </c>
      <c r="I14" s="31" t="n">
        <f aca="false">SUM(I5:I13)</f>
        <v>19632.9809560715</v>
      </c>
      <c r="J14" s="31" t="n">
        <f aca="false">SUM(J5:J13)</f>
        <v>21157.313190336</v>
      </c>
    </row>
    <row r="15" customFormat="false" ht="15" hidden="false" customHeight="true" outlineLevel="0" collapsed="false">
      <c r="A15" s="4" t="s">
        <v>224</v>
      </c>
      <c r="B15" s="27" t="n">
        <v>7111</v>
      </c>
      <c r="C15" s="27" t="n">
        <v>10234</v>
      </c>
      <c r="D15" s="27" t="n">
        <v>13092</v>
      </c>
      <c r="E15" s="27" t="n">
        <v>14996</v>
      </c>
      <c r="F15" s="3"/>
      <c r="G15" s="3"/>
      <c r="H15" s="3"/>
      <c r="I15" s="3"/>
      <c r="J15" s="3"/>
    </row>
    <row r="16" customFormat="false" ht="15" hidden="false" customHeight="true" outlineLevel="0" collapsed="false">
      <c r="A16" s="7" t="s">
        <v>225</v>
      </c>
      <c r="B16" s="27" t="n">
        <v>-798</v>
      </c>
      <c r="C16" s="27" t="n">
        <v>-736</v>
      </c>
      <c r="D16" s="27" t="n">
        <v>-658</v>
      </c>
      <c r="E16" s="27" t="n">
        <v>-594</v>
      </c>
      <c r="F16" s="28" t="n">
        <f aca="false">-IS!F7*Assumptions!F37</f>
        <v>-693.2244</v>
      </c>
      <c r="G16" s="28" t="n">
        <f aca="false">-IS!G7*Assumptions!G37</f>
        <v>-770.834022</v>
      </c>
      <c r="H16" s="28" t="n">
        <f aca="false">-IS!H7*Assumptions!H37</f>
        <v>-844.66540956</v>
      </c>
      <c r="I16" s="28" t="n">
        <f aca="false">-IS!I7*Assumptions!I37</f>
        <v>-925.5115613688</v>
      </c>
      <c r="J16" s="28" t="n">
        <f aca="false">-IS!J7*Assumptions!J37</f>
        <v>-1005.55528564142</v>
      </c>
    </row>
    <row r="17" customFormat="false" ht="15" hidden="false" customHeight="true" outlineLevel="0" collapsed="false">
      <c r="A17" s="7" t="s">
        <v>226</v>
      </c>
      <c r="B17" s="3"/>
      <c r="C17" s="3"/>
      <c r="D17" s="27" t="n">
        <v>-2734</v>
      </c>
      <c r="E17" s="27" t="n">
        <v>-9268</v>
      </c>
      <c r="F17" s="28" t="n">
        <f aca="false">-Assumptions!F50</f>
        <v>-1504</v>
      </c>
      <c r="G17" s="28" t="n">
        <f aca="false">-Assumptions!G50</f>
        <v>-0</v>
      </c>
      <c r="H17" s="28" t="n">
        <f aca="false">-Assumptions!H50</f>
        <v>-0</v>
      </c>
      <c r="I17" s="28" t="n">
        <f aca="false">-Assumptions!I50</f>
        <v>-0</v>
      </c>
      <c r="J17" s="28" t="n">
        <f aca="false">-Assumptions!J50</f>
        <v>-0</v>
      </c>
    </row>
    <row r="18" customFormat="false" ht="15" hidden="false" customHeight="true" outlineLevel="0" collapsed="false">
      <c r="A18" s="7" t="s">
        <v>227</v>
      </c>
      <c r="B18" s="3"/>
      <c r="C18" s="3"/>
      <c r="D18" s="3"/>
      <c r="E18" s="3"/>
      <c r="F18" s="28" t="n">
        <f aca="false">(BS!E6-BS!F6)+(BS!E12-BS!F12)</f>
        <v>0</v>
      </c>
      <c r="G18" s="28" t="n">
        <f aca="false">(BS!F6-BS!G6)+(BS!F12-BS!G12)</f>
        <v>0</v>
      </c>
      <c r="H18" s="28" t="n">
        <f aca="false">(BS!G6-BS!H6)+(BS!G12-BS!H12)</f>
        <v>0</v>
      </c>
      <c r="I18" s="28" t="n">
        <f aca="false">(BS!H6-BS!I6)+(BS!H12-BS!I12)</f>
        <v>0</v>
      </c>
      <c r="J18" s="28" t="n">
        <f aca="false">(BS!I6-BS!J6)+(BS!I12-BS!J12)</f>
        <v>0</v>
      </c>
    </row>
    <row r="19" customFormat="false" ht="15" hidden="false" customHeight="true" outlineLevel="0" collapsed="false">
      <c r="A19" s="18" t="s">
        <v>228</v>
      </c>
      <c r="B19" s="3"/>
      <c r="C19" s="3"/>
      <c r="D19" s="3"/>
      <c r="E19" s="3"/>
      <c r="F19" s="31" t="n">
        <f aca="false">SUM(F16:F18)</f>
        <v>-2197.2244</v>
      </c>
      <c r="G19" s="31" t="n">
        <f aca="false">SUM(G16:G18)</f>
        <v>-770.834022</v>
      </c>
      <c r="H19" s="31" t="n">
        <f aca="false">SUM(H16:H18)</f>
        <v>-844.66540956</v>
      </c>
      <c r="I19" s="31" t="n">
        <f aca="false">SUM(I16:I18)</f>
        <v>-925.5115613688</v>
      </c>
      <c r="J19" s="31" t="n">
        <f aca="false">SUM(J16:J18)</f>
        <v>-1005.55528564142</v>
      </c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5" hidden="false" customHeight="true" outlineLevel="0" collapsed="false">
      <c r="A21" s="7" t="s">
        <v>229</v>
      </c>
      <c r="B21" s="3"/>
      <c r="C21" s="3"/>
      <c r="D21" s="27" t="n">
        <v>0</v>
      </c>
      <c r="E21" s="27" t="n">
        <v>6000</v>
      </c>
      <c r="F21" s="28" t="n">
        <f aca="false">Assumptions!F51</f>
        <v>24842</v>
      </c>
      <c r="G21" s="28" t="n">
        <f aca="false">Assumptions!G51</f>
        <v>0</v>
      </c>
      <c r="H21" s="28" t="n">
        <f aca="false">Assumptions!H51</f>
        <v>0</v>
      </c>
      <c r="I21" s="28" t="n">
        <f aca="false">Assumptions!I51</f>
        <v>0</v>
      </c>
      <c r="J21" s="28" t="n">
        <f aca="false">Assumptions!J51</f>
        <v>0</v>
      </c>
    </row>
    <row r="22" customFormat="false" ht="15" hidden="false" customHeight="true" outlineLevel="0" collapsed="false">
      <c r="A22" s="7" t="s">
        <v>230</v>
      </c>
      <c r="B22" s="3"/>
      <c r="C22" s="3"/>
      <c r="D22" s="27" t="n">
        <v>-1000</v>
      </c>
      <c r="E22" s="27" t="n">
        <v>0</v>
      </c>
      <c r="F22" s="28" t="n">
        <f aca="false">-Assumptions!F52</f>
        <v>-0</v>
      </c>
      <c r="G22" s="28" t="n">
        <f aca="false">-Assumptions!G52</f>
        <v>-0</v>
      </c>
      <c r="H22" s="28" t="n">
        <f aca="false">-Assumptions!H52</f>
        <v>-0</v>
      </c>
      <c r="I22" s="28" t="n">
        <f aca="false">-Assumptions!I52</f>
        <v>-0</v>
      </c>
      <c r="J22" s="28" t="n">
        <f aca="false">-Assumptions!J52</f>
        <v>-0</v>
      </c>
    </row>
    <row r="23" customFormat="false" ht="15" hidden="false" customHeight="true" outlineLevel="0" collapsed="false">
      <c r="A23" s="7" t="s">
        <v>231</v>
      </c>
      <c r="B23" s="27" t="n">
        <v>-4000</v>
      </c>
      <c r="C23" s="27" t="n">
        <v>-7620</v>
      </c>
      <c r="D23" s="27" t="n">
        <v>-7829</v>
      </c>
      <c r="E23" s="27" t="n">
        <v>-12596</v>
      </c>
      <c r="F23" s="28" t="n">
        <f aca="false">-Assumptions!F53</f>
        <v>-28000</v>
      </c>
      <c r="G23" s="28" t="n">
        <f aca="false">-Assumptions!G54*MAX(G32,0)</f>
        <v>-7605.26757606575</v>
      </c>
      <c r="H23" s="28" t="n">
        <f aca="false">-Assumptions!H54*MAX(H32,0)</f>
        <v>-8405.29528808286</v>
      </c>
      <c r="I23" s="28" t="n">
        <f aca="false">-Assumptions!I54*MAX(I32,0)</f>
        <v>-9353.73469735136</v>
      </c>
      <c r="J23" s="28" t="n">
        <f aca="false">-Assumptions!J54*MAX(J32,0)</f>
        <v>-10075.8789523473</v>
      </c>
    </row>
    <row r="24" customFormat="false" ht="15" hidden="false" customHeight="true" outlineLevel="0" collapsed="false">
      <c r="A24" s="7" t="s">
        <v>232</v>
      </c>
      <c r="B24" s="27" t="n">
        <v>0</v>
      </c>
      <c r="C24" s="27" t="n">
        <v>0</v>
      </c>
      <c r="D24" s="27" t="n">
        <v>-1537</v>
      </c>
      <c r="E24" s="27" t="n">
        <v>-1587</v>
      </c>
      <c r="F24" s="28" t="n">
        <f aca="false">-Assumptions!F55</f>
        <v>-1480</v>
      </c>
      <c r="G24" s="28" t="n">
        <f aca="false">F24*(1+Assumptions!G56)</f>
        <v>-1554</v>
      </c>
      <c r="H24" s="28" t="n">
        <f aca="false">G24*(1+Assumptions!H56)</f>
        <v>-1631.7</v>
      </c>
      <c r="I24" s="28" t="n">
        <f aca="false">H24*(1+Assumptions!I56)</f>
        <v>-1713.285</v>
      </c>
      <c r="J24" s="28" t="n">
        <f aca="false">I24*(1+Assumptions!J56)</f>
        <v>-1798.94925</v>
      </c>
    </row>
    <row r="25" customFormat="false" ht="15" hidden="false" customHeight="true" outlineLevel="0" collapsed="false">
      <c r="A25" s="7" t="s">
        <v>233</v>
      </c>
      <c r="B25" s="3"/>
      <c r="C25" s="3"/>
      <c r="D25" s="27" t="n">
        <v>1540</v>
      </c>
      <c r="E25" s="27" t="n">
        <v>1039</v>
      </c>
      <c r="F25" s="28" t="n">
        <f aca="false">Assumptions!F57</f>
        <v>1000</v>
      </c>
      <c r="G25" s="28" t="n">
        <f aca="false">Assumptions!G57</f>
        <v>1000</v>
      </c>
      <c r="H25" s="28" t="n">
        <f aca="false">Assumptions!H57</f>
        <v>1000</v>
      </c>
      <c r="I25" s="28" t="n">
        <f aca="false">Assumptions!I57</f>
        <v>1000</v>
      </c>
      <c r="J25" s="28" t="n">
        <f aca="false">Assumptions!J57</f>
        <v>1000</v>
      </c>
    </row>
    <row r="26" customFormat="false" ht="15" hidden="false" customHeight="true" outlineLevel="0" collapsed="false">
      <c r="A26" s="18" t="s">
        <v>234</v>
      </c>
      <c r="B26" s="3"/>
      <c r="C26" s="3"/>
      <c r="D26" s="3"/>
      <c r="E26" s="3"/>
      <c r="F26" s="31" t="n">
        <f aca="false">SUM(F21:F25)</f>
        <v>-3638</v>
      </c>
      <c r="G26" s="31" t="n">
        <f aca="false">SUM(G21:G25)</f>
        <v>-8159.26757606575</v>
      </c>
      <c r="H26" s="31" t="n">
        <f aca="false">SUM(H21:H25)</f>
        <v>-9036.99528808286</v>
      </c>
      <c r="I26" s="31" t="n">
        <f aca="false">SUM(I21:I25)</f>
        <v>-10067.0196973514</v>
      </c>
      <c r="J26" s="31" t="n">
        <f aca="false">SUM(J21:J25)</f>
        <v>-10874.8282023473</v>
      </c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5" hidden="false" customHeight="true" outlineLevel="0" collapsed="false">
      <c r="A28" s="18" t="s">
        <v>235</v>
      </c>
      <c r="B28" s="3"/>
      <c r="C28" s="3"/>
      <c r="D28" s="3"/>
      <c r="E28" s="3"/>
      <c r="F28" s="28" t="n">
        <f aca="false">F14+F19+F26</f>
        <v>8400.07473550247</v>
      </c>
      <c r="G28" s="28" t="n">
        <f aca="false">G14+G19+G26</f>
        <v>7051.26757606575</v>
      </c>
      <c r="H28" s="28" t="n">
        <f aca="false">H14+H19+H26</f>
        <v>7773.59528808286</v>
      </c>
      <c r="I28" s="28" t="n">
        <f aca="false">I14+I19+I26</f>
        <v>8640.44969735136</v>
      </c>
      <c r="J28" s="28" t="n">
        <f aca="false">J14+J19+J26</f>
        <v>9276.92970234727</v>
      </c>
    </row>
    <row r="29" customFormat="false" ht="15" hidden="false" customHeight="true" outlineLevel="0" collapsed="false">
      <c r="A29" s="7" t="s">
        <v>236</v>
      </c>
      <c r="B29" s="3"/>
      <c r="C29" s="3"/>
      <c r="D29" s="3"/>
      <c r="E29" s="3"/>
      <c r="F29" s="32" t="n">
        <f aca="false">BS!E5</f>
        <v>7327</v>
      </c>
      <c r="G29" s="32" t="n">
        <f aca="false">BS!F5</f>
        <v>15727.0747355025</v>
      </c>
      <c r="H29" s="32" t="n">
        <f aca="false">BS!G5</f>
        <v>22778.3423115682</v>
      </c>
      <c r="I29" s="32" t="n">
        <f aca="false">BS!H5</f>
        <v>30551.9375996511</v>
      </c>
      <c r="J29" s="32" t="n">
        <f aca="false">BS!I5</f>
        <v>39192.3872970024</v>
      </c>
    </row>
    <row r="30" customFormat="false" ht="15" hidden="false" customHeight="true" outlineLevel="0" collapsed="false">
      <c r="A30" s="18" t="s">
        <v>237</v>
      </c>
      <c r="B30" s="3"/>
      <c r="C30" s="3"/>
      <c r="D30" s="3"/>
      <c r="E30" s="3"/>
      <c r="F30" s="31" t="n">
        <f aca="false">F29+F28</f>
        <v>15727.0747355025</v>
      </c>
      <c r="G30" s="31" t="n">
        <f aca="false">G29+G28</f>
        <v>22778.3423115682</v>
      </c>
      <c r="H30" s="31" t="n">
        <f aca="false">H29+H28</f>
        <v>30551.9375996511</v>
      </c>
      <c r="I30" s="31" t="n">
        <f aca="false">I29+I28</f>
        <v>39192.3872970024</v>
      </c>
      <c r="J30" s="31" t="n">
        <f aca="false">J29+J28</f>
        <v>48469.3169993497</v>
      </c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customFormat="false" ht="15" hidden="false" customHeight="true" outlineLevel="0" collapsed="false">
      <c r="A32" s="18" t="s">
        <v>238</v>
      </c>
      <c r="B32" s="28" t="n">
        <f aca="false">B14+B16</f>
        <v>6313</v>
      </c>
      <c r="C32" s="28" t="n">
        <f aca="false">C14+C16</f>
        <v>9498</v>
      </c>
      <c r="D32" s="28" t="n">
        <f aca="false">D14+D16</f>
        <v>12434</v>
      </c>
      <c r="E32" s="28" t="n">
        <f aca="false">E14+E16</f>
        <v>14402</v>
      </c>
      <c r="F32" s="28" t="n">
        <f aca="false">F14+F16</f>
        <v>13542.0747355025</v>
      </c>
      <c r="G32" s="28" t="n">
        <f aca="false">G14+G16</f>
        <v>15210.5351521315</v>
      </c>
      <c r="H32" s="28" t="n">
        <f aca="false">H14+H16</f>
        <v>16810.5905761657</v>
      </c>
      <c r="I32" s="28" t="n">
        <f aca="false">I14+I16</f>
        <v>18707.4693947027</v>
      </c>
      <c r="J32" s="28" t="n">
        <f aca="false">J14+J16</f>
        <v>20151.7579046945</v>
      </c>
    </row>
    <row r="33" customFormat="false" ht="15" hidden="false" customHeight="true" outlineLevel="0" collapsed="false">
      <c r="A33" s="7" t="s">
        <v>239</v>
      </c>
      <c r="B33" s="29" t="n">
        <f aca="false">B32/IS!B7</f>
        <v>0.201358764991069</v>
      </c>
      <c r="C33" s="29" t="n">
        <f aca="false">C32/IS!C7</f>
        <v>0.272484723298046</v>
      </c>
      <c r="D33" s="29" t="n">
        <f aca="false">D32/IS!D7</f>
        <v>0.328117165853015</v>
      </c>
      <c r="E33" s="29" t="n">
        <f aca="false">E32/IS!E7</f>
        <v>0.346827212522577</v>
      </c>
      <c r="F33" s="29" t="n">
        <f aca="false">F32/IS!F7</f>
        <v>0.293023616930589</v>
      </c>
      <c r="G33" s="29" t="n">
        <f aca="false">G32/IS!G7</f>
        <v>0.295988527711835</v>
      </c>
      <c r="H33" s="29" t="n">
        <f aca="false">H32/IS!H7</f>
        <v>0.298531058320287</v>
      </c>
      <c r="I33" s="29" t="n">
        <f aca="false">I32/IS!I7</f>
        <v>0.303196688872827</v>
      </c>
      <c r="J33" s="29" t="n">
        <f aca="false">J32/IS!J7</f>
        <v>0.30060641407459</v>
      </c>
    </row>
    <row r="34" customFormat="false" ht="15" hidden="false" customHeight="true" outlineLevel="0" collapsed="false">
      <c r="A34" s="7" t="s">
        <v>240</v>
      </c>
      <c r="B34" s="3"/>
      <c r="C34" s="29" t="n">
        <f aca="false">C32/B32-1</f>
        <v>0.504514493901473</v>
      </c>
      <c r="D34" s="29" t="n">
        <f aca="false">D32/C32-1</f>
        <v>0.309117708991367</v>
      </c>
      <c r="E34" s="29" t="n">
        <f aca="false">E32/D32-1</f>
        <v>0.158275695673154</v>
      </c>
      <c r="F34" s="29" t="n">
        <f aca="false">F32/E32-1</f>
        <v>-0.0597087393763039</v>
      </c>
      <c r="G34" s="29" t="n">
        <f aca="false">G32/F32-1</f>
        <v>0.123205671894199</v>
      </c>
      <c r="H34" s="29" t="n">
        <f aca="false">H32/G32-1</f>
        <v>0.105193894102403</v>
      </c>
      <c r="I34" s="29" t="n">
        <f aca="false">I32/H32-1</f>
        <v>0.112838321172751</v>
      </c>
      <c r="J34" s="29" t="n">
        <f aca="false">J32/I32-1</f>
        <v>0.0772038419264123</v>
      </c>
    </row>
    <row r="35" customFormat="false" ht="15" hidden="false" customHeight="true" outlineLevel="0" collapsed="false">
      <c r="A35" s="7" t="s">
        <v>241</v>
      </c>
      <c r="B35" s="28" t="n">
        <f aca="false">B32-B7</f>
        <v>3034</v>
      </c>
      <c r="C35" s="28" t="n">
        <f aca="false">C32-C7</f>
        <v>6711</v>
      </c>
      <c r="D35" s="28" t="n">
        <f aca="false">D32-D7</f>
        <v>9251</v>
      </c>
      <c r="E35" s="28" t="n">
        <f aca="false">E32-E7</f>
        <v>10893</v>
      </c>
      <c r="F35" s="28" t="n">
        <f aca="false">F32-F7</f>
        <v>9706.23305550247</v>
      </c>
      <c r="G35" s="28" t="n">
        <f aca="false">G32-G7</f>
        <v>10945.2535637315</v>
      </c>
      <c r="H35" s="28" t="n">
        <f aca="false">H32-H7</f>
        <v>12136.7753099337</v>
      </c>
      <c r="I35" s="28" t="n">
        <f aca="false">I32-I7</f>
        <v>13586.3054217954</v>
      </c>
      <c r="J35" s="28" t="n">
        <f aca="false">J32-J7</f>
        <v>14587.6853241453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10" min="2" style="1" width="12.5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2" t="s">
        <v>242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4" t="s">
        <v>243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21" t="s">
        <v>244</v>
      </c>
      <c r="B4" s="22"/>
      <c r="C4" s="22"/>
      <c r="D4" s="22"/>
      <c r="E4" s="22"/>
      <c r="F4" s="22"/>
      <c r="G4" s="22"/>
      <c r="H4" s="22"/>
      <c r="I4" s="22"/>
      <c r="J4" s="22"/>
      <c r="K4" s="3"/>
    </row>
    <row r="5" customFormat="false" ht="15" hidden="false" customHeight="true" outlineLevel="0" collapsed="false">
      <c r="A5" s="7" t="s">
        <v>245</v>
      </c>
      <c r="B5" s="36" t="n">
        <v>46309</v>
      </c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true" outlineLevel="0" collapsed="false">
      <c r="A6" s="7" t="s">
        <v>246</v>
      </c>
      <c r="B6" s="37" t="n">
        <v>235.95</v>
      </c>
      <c r="C6" s="3"/>
      <c r="D6" s="3"/>
      <c r="E6" s="3"/>
      <c r="F6" s="3"/>
      <c r="G6" s="3"/>
      <c r="H6" s="3"/>
      <c r="I6" s="3"/>
      <c r="J6" s="3"/>
      <c r="K6" s="4" t="s">
        <v>247</v>
      </c>
    </row>
    <row r="7" customFormat="false" ht="15" hidden="false" customHeight="true" outlineLevel="0" collapsed="false">
      <c r="A7" s="7" t="s">
        <v>248</v>
      </c>
      <c r="B7" s="27" t="n">
        <v>823</v>
      </c>
      <c r="C7" s="3"/>
      <c r="D7" s="3"/>
      <c r="E7" s="3"/>
      <c r="F7" s="3"/>
      <c r="G7" s="3"/>
      <c r="H7" s="3"/>
      <c r="I7" s="3"/>
      <c r="J7" s="3"/>
      <c r="K7" s="4" t="s">
        <v>249</v>
      </c>
    </row>
    <row r="8" customFormat="false" ht="15" hidden="false" customHeight="true" outlineLevel="0" collapsed="false">
      <c r="A8" s="7" t="s">
        <v>250</v>
      </c>
      <c r="B8" s="27" t="n">
        <v>7</v>
      </c>
      <c r="C8" s="3"/>
      <c r="D8" s="3"/>
      <c r="E8" s="3"/>
      <c r="F8" s="3"/>
      <c r="G8" s="3"/>
      <c r="H8" s="3"/>
      <c r="I8" s="3"/>
      <c r="J8" s="3"/>
      <c r="K8" s="4" t="s">
        <v>251</v>
      </c>
    </row>
    <row r="9" customFormat="false" ht="15" hidden="false" customHeight="true" outlineLevel="0" collapsed="false">
      <c r="A9" s="18" t="s">
        <v>252</v>
      </c>
      <c r="B9" s="38" t="n">
        <f aca="false">B7+B8</f>
        <v>830</v>
      </c>
      <c r="C9" s="3"/>
      <c r="D9" s="3"/>
      <c r="E9" s="3"/>
      <c r="F9" s="3"/>
      <c r="G9" s="3"/>
      <c r="H9" s="3"/>
      <c r="I9" s="3"/>
      <c r="J9" s="3"/>
      <c r="K9" s="3"/>
    </row>
    <row r="10" customFormat="false" ht="15" hidden="false" customHeight="true" outlineLevel="0" collapsed="false">
      <c r="A10" s="7" t="s">
        <v>253</v>
      </c>
      <c r="B10" s="36" t="n">
        <v>46234</v>
      </c>
      <c r="C10" s="3"/>
      <c r="D10" s="3"/>
      <c r="E10" s="3"/>
      <c r="F10" s="3"/>
      <c r="G10" s="3"/>
      <c r="H10" s="3"/>
      <c r="I10" s="3"/>
      <c r="J10" s="3"/>
      <c r="K10" s="4" t="s">
        <v>254</v>
      </c>
    </row>
    <row r="11" customFormat="false" ht="15" hidden="false" customHeight="true" outlineLevel="0" collapsed="false">
      <c r="A11" s="7" t="s">
        <v>186</v>
      </c>
      <c r="B11" s="27" t="n">
        <v>8310</v>
      </c>
      <c r="C11" s="3"/>
      <c r="D11" s="3"/>
      <c r="E11" s="3"/>
      <c r="F11" s="3"/>
      <c r="G11" s="3"/>
      <c r="H11" s="3"/>
      <c r="I11" s="3"/>
      <c r="J11" s="3"/>
      <c r="K11" s="4" t="s">
        <v>255</v>
      </c>
    </row>
    <row r="12" customFormat="false" ht="15" hidden="false" customHeight="true" outlineLevel="0" collapsed="false">
      <c r="A12" s="7" t="s">
        <v>187</v>
      </c>
      <c r="B12" s="27" t="n">
        <v>3093</v>
      </c>
      <c r="C12" s="3"/>
      <c r="D12" s="3"/>
      <c r="E12" s="3"/>
      <c r="F12" s="3"/>
      <c r="G12" s="3"/>
      <c r="H12" s="3"/>
      <c r="I12" s="3"/>
      <c r="J12" s="3"/>
      <c r="K12" s="4" t="s">
        <v>255</v>
      </c>
    </row>
    <row r="13" customFormat="false" ht="15" hidden="false" customHeight="true" outlineLevel="0" collapsed="false">
      <c r="A13" s="7" t="s">
        <v>256</v>
      </c>
      <c r="B13" s="27" t="n">
        <v>11324</v>
      </c>
      <c r="C13" s="3"/>
      <c r="D13" s="3"/>
      <c r="E13" s="3"/>
      <c r="F13" s="3"/>
      <c r="G13" s="3"/>
      <c r="H13" s="3"/>
      <c r="I13" s="3"/>
      <c r="J13" s="3"/>
      <c r="K13" s="4" t="s">
        <v>257</v>
      </c>
    </row>
    <row r="14" customFormat="false" ht="15" hidden="false" customHeight="true" outlineLevel="0" collapsed="false">
      <c r="A14" s="7" t="s">
        <v>258</v>
      </c>
      <c r="B14" s="23" t="n">
        <v>0.2</v>
      </c>
      <c r="C14" s="3"/>
      <c r="D14" s="3"/>
      <c r="E14" s="3"/>
      <c r="F14" s="3"/>
      <c r="G14" s="3"/>
      <c r="H14" s="3"/>
      <c r="I14" s="3"/>
      <c r="J14" s="3"/>
      <c r="K14" s="4" t="s">
        <v>259</v>
      </c>
    </row>
    <row r="15" customFormat="false" ht="15" hidden="false" customHeight="true" outlineLevel="0" collapsed="false">
      <c r="A15" s="7" t="s">
        <v>260</v>
      </c>
      <c r="B15" s="27" t="n">
        <v>39288</v>
      </c>
      <c r="C15" s="3"/>
      <c r="D15" s="3"/>
      <c r="E15" s="3"/>
      <c r="F15" s="3"/>
      <c r="G15" s="3"/>
      <c r="H15" s="3"/>
      <c r="I15" s="3"/>
      <c r="J15" s="3"/>
      <c r="K15" s="4" t="s">
        <v>261</v>
      </c>
    </row>
    <row r="16" customFormat="false" ht="15" hidden="false" customHeight="true" outlineLevel="0" collapsed="false">
      <c r="A16" s="7" t="s">
        <v>262</v>
      </c>
      <c r="B16" s="19" t="n">
        <v>1</v>
      </c>
      <c r="C16" s="3"/>
      <c r="D16" s="3"/>
      <c r="E16" s="3"/>
      <c r="F16" s="3"/>
      <c r="G16" s="3"/>
      <c r="H16" s="3"/>
      <c r="I16" s="3"/>
      <c r="J16" s="3"/>
      <c r="K16" s="4" t="s">
        <v>263</v>
      </c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true" outlineLevel="0" collapsed="false">
      <c r="A18" s="21" t="s">
        <v>264</v>
      </c>
      <c r="B18" s="22"/>
      <c r="C18" s="22"/>
      <c r="D18" s="22"/>
      <c r="E18" s="22"/>
      <c r="F18" s="22"/>
      <c r="G18" s="22"/>
      <c r="H18" s="22"/>
      <c r="I18" s="22"/>
      <c r="J18" s="22"/>
      <c r="K18" s="3"/>
    </row>
    <row r="19" customFormat="false" ht="15" hidden="false" customHeight="true" outlineLevel="0" collapsed="false">
      <c r="A19" s="7" t="s">
        <v>265</v>
      </c>
      <c r="B19" s="26" t="n">
        <v>0.052</v>
      </c>
      <c r="C19" s="3"/>
      <c r="D19" s="3"/>
      <c r="E19" s="3"/>
      <c r="F19" s="3"/>
      <c r="G19" s="3"/>
      <c r="H19" s="3"/>
      <c r="I19" s="3"/>
      <c r="J19" s="3"/>
      <c r="K19" s="4" t="s">
        <v>266</v>
      </c>
    </row>
    <row r="20" customFormat="false" ht="15" hidden="false" customHeight="true" outlineLevel="0" collapsed="false">
      <c r="A20" s="7" t="s">
        <v>267</v>
      </c>
      <c r="B20" s="26" t="n">
        <v>0.05</v>
      </c>
      <c r="C20" s="3"/>
      <c r="D20" s="3"/>
      <c r="E20" s="3"/>
      <c r="F20" s="3"/>
      <c r="G20" s="3"/>
      <c r="H20" s="3"/>
      <c r="I20" s="3"/>
      <c r="J20" s="3"/>
      <c r="K20" s="4" t="s">
        <v>268</v>
      </c>
    </row>
    <row r="21" customFormat="false" ht="15" hidden="false" customHeight="true" outlineLevel="0" collapsed="false">
      <c r="A21" s="7" t="s">
        <v>269</v>
      </c>
      <c r="B21" s="39" t="n">
        <v>1.26</v>
      </c>
      <c r="C21" s="3"/>
      <c r="D21" s="3"/>
      <c r="E21" s="3"/>
      <c r="F21" s="3"/>
      <c r="G21" s="3"/>
      <c r="H21" s="3"/>
      <c r="I21" s="3"/>
      <c r="J21" s="3"/>
      <c r="K21" s="4" t="s">
        <v>270</v>
      </c>
    </row>
    <row r="22" customFormat="false" ht="15" hidden="false" customHeight="true" outlineLevel="0" collapsed="false">
      <c r="A22" s="18" t="s">
        <v>271</v>
      </c>
      <c r="B22" s="24" t="n">
        <f aca="false">B19+B21*B20</f>
        <v>0.115</v>
      </c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7" t="s">
        <v>272</v>
      </c>
      <c r="B23" s="26" t="n">
        <v>0.055</v>
      </c>
      <c r="C23" s="3"/>
      <c r="D23" s="3"/>
      <c r="E23" s="3"/>
      <c r="F23" s="3"/>
      <c r="G23" s="3"/>
      <c r="H23" s="3"/>
      <c r="I23" s="3"/>
      <c r="J23" s="3"/>
      <c r="K23" s="4" t="s">
        <v>273</v>
      </c>
    </row>
    <row r="24" customFormat="false" ht="15" hidden="false" customHeight="true" outlineLevel="0" collapsed="false">
      <c r="A24" s="7" t="s">
        <v>274</v>
      </c>
      <c r="B24" s="26" t="n">
        <v>0.21</v>
      </c>
      <c r="C24" s="3"/>
      <c r="D24" s="3"/>
      <c r="E24" s="3"/>
      <c r="F24" s="3"/>
      <c r="G24" s="3"/>
      <c r="H24" s="3"/>
      <c r="I24" s="3"/>
      <c r="J24" s="3"/>
      <c r="K24" s="4" t="s">
        <v>275</v>
      </c>
    </row>
    <row r="25" customFormat="false" ht="15" hidden="false" customHeight="true" outlineLevel="0" collapsed="false">
      <c r="A25" s="7" t="s">
        <v>276</v>
      </c>
      <c r="B25" s="29" t="n">
        <f aca="false">B23*(1-B24)</f>
        <v>0.04345</v>
      </c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7" t="s">
        <v>277</v>
      </c>
      <c r="B26" s="28" t="n">
        <f aca="false">B6*B9</f>
        <v>195838.5</v>
      </c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7" t="s">
        <v>278</v>
      </c>
      <c r="B27" s="28" t="n">
        <f aca="false">B15</f>
        <v>39288</v>
      </c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7" t="s">
        <v>279</v>
      </c>
      <c r="B28" s="29" t="n">
        <f aca="false">B26/(B26+B27)</f>
        <v>0.832906967100688</v>
      </c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7" t="s">
        <v>280</v>
      </c>
      <c r="B29" s="29" t="n">
        <f aca="false">B27/(B26+B27)</f>
        <v>0.167093032899312</v>
      </c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18" t="s">
        <v>9</v>
      </c>
      <c r="B30" s="40" t="n">
        <f aca="false">B28*B22+B29*B25</f>
        <v>0.103044493496054</v>
      </c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21" t="s">
        <v>281</v>
      </c>
      <c r="B32" s="22"/>
      <c r="C32" s="22"/>
      <c r="D32" s="22"/>
      <c r="E32" s="22"/>
      <c r="F32" s="22"/>
      <c r="G32" s="22"/>
      <c r="H32" s="22"/>
      <c r="I32" s="22"/>
      <c r="J32" s="22"/>
      <c r="K32" s="3"/>
    </row>
    <row r="33" customFormat="false" ht="15" hidden="false" customHeight="true" outlineLevel="0" collapsed="false">
      <c r="A33" s="7" t="s">
        <v>282</v>
      </c>
      <c r="B33" s="23" t="n">
        <v>0.03</v>
      </c>
      <c r="C33" s="3"/>
      <c r="D33" s="3"/>
      <c r="E33" s="3"/>
      <c r="F33" s="3"/>
      <c r="G33" s="3"/>
      <c r="H33" s="3"/>
      <c r="I33" s="3"/>
      <c r="J33" s="3"/>
      <c r="K33" s="4" t="s">
        <v>283</v>
      </c>
    </row>
    <row r="34" customFormat="false" ht="15" hidden="false" customHeight="true" outlineLevel="0" collapsed="false">
      <c r="A34" s="7" t="s">
        <v>284</v>
      </c>
      <c r="B34" s="41" t="n">
        <v>16</v>
      </c>
      <c r="C34" s="3"/>
      <c r="D34" s="3"/>
      <c r="E34" s="3"/>
      <c r="F34" s="3"/>
      <c r="G34" s="3"/>
      <c r="H34" s="3"/>
      <c r="I34" s="3"/>
      <c r="J34" s="3"/>
      <c r="K34" s="4" t="s">
        <v>285</v>
      </c>
    </row>
    <row r="35" customFormat="false" ht="15" hidden="false" customHeight="true" outlineLevel="0" collapsed="false">
      <c r="A35" s="7" t="s">
        <v>286</v>
      </c>
      <c r="B35" s="26" t="n">
        <v>0.5</v>
      </c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5" t="s">
        <v>287</v>
      </c>
      <c r="B37" s="6"/>
      <c r="C37" s="6"/>
      <c r="D37" s="6"/>
      <c r="E37" s="6"/>
      <c r="F37" s="20" t="s">
        <v>41</v>
      </c>
      <c r="G37" s="20" t="s">
        <v>42</v>
      </c>
      <c r="H37" s="20" t="s">
        <v>43</v>
      </c>
      <c r="I37" s="20" t="s">
        <v>44</v>
      </c>
      <c r="J37" s="20" t="s">
        <v>45</v>
      </c>
      <c r="K37" s="3"/>
    </row>
    <row r="38" customFormat="false" ht="15" hidden="false" customHeight="true" outlineLevel="0" collapsed="false">
      <c r="A38" s="7" t="s">
        <v>288</v>
      </c>
      <c r="B38" s="3"/>
      <c r="C38" s="3"/>
      <c r="D38" s="3"/>
      <c r="E38" s="3"/>
      <c r="F38" s="42" t="n">
        <f aca="false">DATE(2027,1,31)</f>
        <v>46418</v>
      </c>
      <c r="G38" s="42" t="n">
        <f aca="false">DATE(2028,1,31)</f>
        <v>46783</v>
      </c>
      <c r="H38" s="42" t="n">
        <f aca="false">DATE(2029,1,31)</f>
        <v>47149</v>
      </c>
      <c r="I38" s="42" t="n">
        <f aca="false">DATE(2030,1,31)</f>
        <v>47514</v>
      </c>
      <c r="J38" s="42" t="n">
        <f aca="false">DATE(2031,1,31)</f>
        <v>47879</v>
      </c>
      <c r="K38" s="3"/>
    </row>
    <row r="39" customFormat="false" ht="15" hidden="false" customHeight="true" outlineLevel="0" collapsed="false">
      <c r="A39" s="7" t="s">
        <v>289</v>
      </c>
      <c r="B39" s="3"/>
      <c r="C39" s="3"/>
      <c r="D39" s="3"/>
      <c r="E39" s="3"/>
      <c r="F39" s="32" t="n">
        <f aca="false">IS!F7</f>
        <v>46214.96</v>
      </c>
      <c r="G39" s="32" t="n">
        <f aca="false">IS!G7</f>
        <v>51388.9348</v>
      </c>
      <c r="H39" s="32" t="n">
        <f aca="false">IS!H7</f>
        <v>56311.027304</v>
      </c>
      <c r="I39" s="32" t="n">
        <f aca="false">IS!I7</f>
        <v>61700.77075792</v>
      </c>
      <c r="J39" s="32" t="n">
        <f aca="false">IS!J7</f>
        <v>67037.0190427616</v>
      </c>
      <c r="K39" s="3"/>
    </row>
    <row r="40" customFormat="false" ht="15" hidden="false" customHeight="true" outlineLevel="0" collapsed="false">
      <c r="A40" s="7" t="s">
        <v>290</v>
      </c>
      <c r="B40" s="3"/>
      <c r="C40" s="3"/>
      <c r="D40" s="3"/>
      <c r="E40" s="3"/>
      <c r="F40" s="32" t="n">
        <f aca="false">IS!F21</f>
        <v>9419.40658000001</v>
      </c>
      <c r="G40" s="32" t="n">
        <f aca="false">IS!G21</f>
        <v>11308.6686832</v>
      </c>
      <c r="H40" s="32" t="n">
        <f aca="false">IS!H21</f>
        <v>12961.37811416</v>
      </c>
      <c r="I40" s="32" t="n">
        <f aca="false">IS!I21</f>
        <v>14799.0856364243</v>
      </c>
      <c r="J40" s="32" t="n">
        <f aca="false">IS!J21</f>
        <v>16685.8675006524</v>
      </c>
      <c r="K40" s="3"/>
    </row>
    <row r="41" customFormat="false" ht="15" hidden="false" customHeight="true" outlineLevel="0" collapsed="false">
      <c r="A41" s="7" t="s">
        <v>291</v>
      </c>
      <c r="B41" s="3"/>
      <c r="C41" s="3"/>
      <c r="D41" s="3"/>
      <c r="E41" s="3"/>
      <c r="F41" s="28" t="n">
        <f aca="false">-F40*Assumptions!F38</f>
        <v>-2100.52766734</v>
      </c>
      <c r="G41" s="28" t="n">
        <f aca="false">-G40*Assumptions!G38</f>
        <v>-2431.363766888</v>
      </c>
      <c r="H41" s="28" t="n">
        <f aca="false">-H40*Assumptions!H38</f>
        <v>-2786.6962945444</v>
      </c>
      <c r="I41" s="28" t="n">
        <f aca="false">-I40*Assumptions!I38</f>
        <v>-3181.80341183123</v>
      </c>
      <c r="J41" s="28" t="n">
        <f aca="false">-J40*Assumptions!J38</f>
        <v>-3587.46151264027</v>
      </c>
      <c r="K41" s="3"/>
    </row>
    <row r="42" customFormat="false" ht="15" hidden="false" customHeight="true" outlineLevel="0" collapsed="false">
      <c r="A42" s="18" t="s">
        <v>292</v>
      </c>
      <c r="B42" s="3"/>
      <c r="C42" s="3"/>
      <c r="D42" s="3"/>
      <c r="E42" s="3"/>
      <c r="F42" s="28" t="n">
        <f aca="false">F40+F41</f>
        <v>7318.87891266001</v>
      </c>
      <c r="G42" s="28" t="n">
        <f aca="false">G40+G41</f>
        <v>8877.304916312</v>
      </c>
      <c r="H42" s="28" t="n">
        <f aca="false">H40+H41</f>
        <v>10174.6818196156</v>
      </c>
      <c r="I42" s="28" t="n">
        <f aca="false">I40+I41</f>
        <v>11617.2822245931</v>
      </c>
      <c r="J42" s="28" t="n">
        <f aca="false">J40+J41</f>
        <v>13098.4059880121</v>
      </c>
      <c r="K42" s="3"/>
    </row>
    <row r="43" customFormat="false" ht="15" hidden="false" customHeight="true" outlineLevel="0" collapsed="false">
      <c r="A43" s="7" t="s">
        <v>293</v>
      </c>
      <c r="B43" s="3"/>
      <c r="C43" s="3"/>
      <c r="D43" s="3"/>
      <c r="E43" s="3"/>
      <c r="F43" s="32" t="n">
        <f aca="false">IS!F41</f>
        <v>2524</v>
      </c>
      <c r="G43" s="32" t="n">
        <f aca="false">IS!G41</f>
        <v>2337.84488</v>
      </c>
      <c r="H43" s="32" t="n">
        <f aca="false">IS!H41</f>
        <v>2164.4427084</v>
      </c>
      <c r="I43" s="32" t="n">
        <f aca="false">IS!I41</f>
        <v>1900.487248632</v>
      </c>
      <c r="J43" s="32" t="n">
        <f aca="false">IS!J41</f>
        <v>1260.49211117936</v>
      </c>
      <c r="K43" s="3"/>
    </row>
    <row r="44" customFormat="false" ht="15" hidden="false" customHeight="true" outlineLevel="0" collapsed="false">
      <c r="A44" s="7" t="s">
        <v>294</v>
      </c>
      <c r="B44" s="3"/>
      <c r="C44" s="3"/>
      <c r="D44" s="3"/>
      <c r="E44" s="3"/>
      <c r="F44" s="28" t="n">
        <f aca="false">IS!F38*(1-$B$16)</f>
        <v>0</v>
      </c>
      <c r="G44" s="28" t="n">
        <f aca="false">IS!G38*(1-$B$16)</f>
        <v>0</v>
      </c>
      <c r="H44" s="28" t="n">
        <f aca="false">IS!H38*(1-$B$16)</f>
        <v>0</v>
      </c>
      <c r="I44" s="28" t="n">
        <f aca="false">IS!I38*(1-$B$16)</f>
        <v>0</v>
      </c>
      <c r="J44" s="28" t="n">
        <f aca="false">IS!J38*(1-$B$16)</f>
        <v>0</v>
      </c>
      <c r="K44" s="3"/>
    </row>
    <row r="45" customFormat="false" ht="15" hidden="false" customHeight="true" outlineLevel="0" collapsed="false">
      <c r="A45" s="7" t="s">
        <v>295</v>
      </c>
      <c r="B45" s="3"/>
      <c r="C45" s="3"/>
      <c r="D45" s="3"/>
      <c r="E45" s="3"/>
      <c r="F45" s="32" t="n">
        <f aca="false">CF!F16</f>
        <v>-693.2244</v>
      </c>
      <c r="G45" s="32" t="n">
        <f aca="false">CF!G16</f>
        <v>-770.834022</v>
      </c>
      <c r="H45" s="32" t="n">
        <f aca="false">CF!H16</f>
        <v>-844.66540956</v>
      </c>
      <c r="I45" s="32" t="n">
        <f aca="false">CF!I16</f>
        <v>-925.5115613688</v>
      </c>
      <c r="J45" s="32" t="n">
        <f aca="false">CF!J16</f>
        <v>-1005.55528564142</v>
      </c>
      <c r="K45" s="3"/>
    </row>
    <row r="46" customFormat="false" ht="15" hidden="false" customHeight="true" outlineLevel="0" collapsed="false">
      <c r="A46" s="7" t="s">
        <v>296</v>
      </c>
      <c r="B46" s="3"/>
      <c r="C46" s="3"/>
      <c r="D46" s="3"/>
      <c r="E46" s="3"/>
      <c r="F46" s="32" t="n">
        <f aca="false">SUM(CF!F8:F12)</f>
        <v>1217.03825534247</v>
      </c>
      <c r="G46" s="32" t="n">
        <f aca="false">SUM(CF!G8:G12)</f>
        <v>1359.69222689315</v>
      </c>
      <c r="H46" s="32" t="n">
        <f aca="false">SUM(CF!H8:H12)</f>
        <v>1293.49893968132</v>
      </c>
      <c r="I46" s="32" t="n">
        <f aca="false">SUM(CF!I8:I12)</f>
        <v>1416.39504684933</v>
      </c>
      <c r="J46" s="32" t="n">
        <f aca="false">SUM(CF!J8:J12)</f>
        <v>1402.33680953974</v>
      </c>
      <c r="K46" s="3"/>
    </row>
    <row r="47" customFormat="false" ht="15" hidden="false" customHeight="true" outlineLevel="0" collapsed="false">
      <c r="A47" s="18" t="s">
        <v>297</v>
      </c>
      <c r="B47" s="3"/>
      <c r="C47" s="3"/>
      <c r="D47" s="3"/>
      <c r="E47" s="3"/>
      <c r="F47" s="31" t="n">
        <f aca="false">SUM(F42:F46)</f>
        <v>10366.6927680025</v>
      </c>
      <c r="G47" s="31" t="n">
        <f aca="false">SUM(G42:G46)</f>
        <v>11804.0080012052</v>
      </c>
      <c r="H47" s="31" t="n">
        <f aca="false">SUM(H42:H46)</f>
        <v>12787.9580581369</v>
      </c>
      <c r="I47" s="31" t="n">
        <f aca="false">SUM(I42:I46)</f>
        <v>14008.6529587056</v>
      </c>
      <c r="J47" s="31" t="n">
        <f aca="false">SUM(J42:J46)</f>
        <v>14755.6796230898</v>
      </c>
      <c r="K47" s="3"/>
    </row>
    <row r="48" customFormat="false" ht="15" hidden="false" customHeight="true" outlineLevel="0" collapsed="false">
      <c r="A48" s="7" t="s">
        <v>298</v>
      </c>
      <c r="B48" s="3"/>
      <c r="C48" s="3"/>
      <c r="D48" s="3"/>
      <c r="E48" s="3"/>
      <c r="F48" s="29" t="n">
        <f aca="false">F47/F39</f>
        <v>0.224314654129366</v>
      </c>
      <c r="G48" s="29" t="n">
        <f aca="false">G47/G39</f>
        <v>0.229699409943892</v>
      </c>
      <c r="H48" s="29" t="n">
        <f aca="false">H47/H39</f>
        <v>0.227095094342712</v>
      </c>
      <c r="I48" s="29" t="n">
        <f aca="false">I47/I39</f>
        <v>0.227041782243984</v>
      </c>
      <c r="J48" s="29" t="n">
        <f aca="false">J47/J39</f>
        <v>0.220112407051952</v>
      </c>
      <c r="K48" s="3"/>
    </row>
    <row r="49" customFormat="false" ht="15" hidden="false" customHeight="true" outlineLevel="0" collapsed="false">
      <c r="A49" s="7" t="s">
        <v>299</v>
      </c>
      <c r="B49" s="3"/>
      <c r="C49" s="3"/>
      <c r="D49" s="3"/>
      <c r="E49" s="3"/>
      <c r="F49" s="43" t="n">
        <f aca="false">(F38-$B$10)/365</f>
        <v>0.504109589041096</v>
      </c>
      <c r="G49" s="43" t="n">
        <f aca="false">1</f>
        <v>1</v>
      </c>
      <c r="H49" s="43" t="n">
        <f aca="false">1</f>
        <v>1</v>
      </c>
      <c r="I49" s="43" t="n">
        <f aca="false">1</f>
        <v>1</v>
      </c>
      <c r="J49" s="43" t="n">
        <f aca="false">1</f>
        <v>1</v>
      </c>
      <c r="K49" s="3"/>
    </row>
    <row r="50" customFormat="false" ht="15" hidden="false" customHeight="true" outlineLevel="0" collapsed="false">
      <c r="A50" s="7" t="s">
        <v>300</v>
      </c>
      <c r="B50" s="3"/>
      <c r="C50" s="3"/>
      <c r="D50" s="3"/>
      <c r="E50" s="3"/>
      <c r="F50" s="28" t="n">
        <f aca="false">F47*F49</f>
        <v>5225.94923099303</v>
      </c>
      <c r="G50" s="28" t="n">
        <f aca="false">G47*G49</f>
        <v>11804.0080012052</v>
      </c>
      <c r="H50" s="28" t="n">
        <f aca="false">H47*H49</f>
        <v>12787.9580581369</v>
      </c>
      <c r="I50" s="28" t="n">
        <f aca="false">I47*I49</f>
        <v>14008.6529587056</v>
      </c>
      <c r="J50" s="28" t="n">
        <f aca="false">J47*J49</f>
        <v>14755.6796230898</v>
      </c>
      <c r="K50" s="3"/>
    </row>
    <row r="51" customFormat="false" ht="15" hidden="false" customHeight="true" outlineLevel="0" collapsed="false">
      <c r="A51" s="7" t="s">
        <v>301</v>
      </c>
      <c r="B51" s="3"/>
      <c r="C51" s="3"/>
      <c r="D51" s="3"/>
      <c r="E51" s="3"/>
      <c r="F51" s="43" t="n">
        <f aca="false">MAX((F38-$B$5)/365-F49/2,0)</f>
        <v>0.0465753424657534</v>
      </c>
      <c r="G51" s="43" t="n">
        <f aca="false">MAX((G38-$B$5)/365-G49/2,0)</f>
        <v>0.798630136986301</v>
      </c>
      <c r="H51" s="43" t="n">
        <f aca="false">MAX((H38-$B$5)/365-H49/2,0)</f>
        <v>1.8013698630137</v>
      </c>
      <c r="I51" s="43" t="n">
        <f aca="false">MAX((I38-$B$5)/365-I49/2,0)</f>
        <v>2.8013698630137</v>
      </c>
      <c r="J51" s="43" t="n">
        <f aca="false">MAX((J38-$B$5)/365-J49/2,0)</f>
        <v>3.8013698630137</v>
      </c>
      <c r="K51" s="3"/>
    </row>
    <row r="52" customFormat="false" ht="15" hidden="false" customHeight="true" outlineLevel="0" collapsed="false">
      <c r="A52" s="7" t="s">
        <v>302</v>
      </c>
      <c r="B52" s="3"/>
      <c r="C52" s="3"/>
      <c r="D52" s="3"/>
      <c r="E52" s="3"/>
      <c r="F52" s="44" t="n">
        <f aca="false">1/(1+$B$30)^F51</f>
        <v>0.995442582912682</v>
      </c>
      <c r="G52" s="44" t="n">
        <f aca="false">1/(1+$B$30)^G51</f>
        <v>0.924663941092435</v>
      </c>
      <c r="H52" s="44" t="n">
        <f aca="false">1/(1+$B$30)^H51</f>
        <v>0.838058234568608</v>
      </c>
      <c r="I52" s="44" t="n">
        <f aca="false">1/(1+$B$30)^I51</f>
        <v>0.759768295395245</v>
      </c>
      <c r="J52" s="44" t="n">
        <f aca="false">1/(1+$B$30)^J51</f>
        <v>0.688792065846039</v>
      </c>
      <c r="K52" s="3"/>
    </row>
    <row r="53" customFormat="false" ht="15" hidden="false" customHeight="true" outlineLevel="0" collapsed="false">
      <c r="A53" s="18" t="s">
        <v>303</v>
      </c>
      <c r="B53" s="3"/>
      <c r="C53" s="3"/>
      <c r="D53" s="3"/>
      <c r="E53" s="3"/>
      <c r="F53" s="28" t="n">
        <f aca="false">F50*F52</f>
        <v>5202.13240067024</v>
      </c>
      <c r="G53" s="28" t="n">
        <f aca="false">G50*G52</f>
        <v>10914.740559081</v>
      </c>
      <c r="H53" s="28" t="n">
        <f aca="false">H50*H52</f>
        <v>10717.0535539396</v>
      </c>
      <c r="I53" s="28" t="n">
        <f aca="false">I50*I52</f>
        <v>10643.3303792193</v>
      </c>
      <c r="J53" s="28" t="n">
        <f aca="false">J50*J52</f>
        <v>10163.5950505503</v>
      </c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21" t="s">
        <v>304</v>
      </c>
      <c r="B55" s="22"/>
      <c r="C55" s="22"/>
      <c r="D55" s="22"/>
      <c r="E55" s="22"/>
      <c r="F55" s="22"/>
      <c r="G55" s="22"/>
      <c r="H55" s="22"/>
      <c r="I55" s="22"/>
      <c r="J55" s="22"/>
      <c r="K55" s="3"/>
    </row>
    <row r="56" customFormat="false" ht="15" hidden="false" customHeight="true" outlineLevel="0" collapsed="false">
      <c r="A56" s="7" t="s">
        <v>305</v>
      </c>
      <c r="B56" s="28" t="n">
        <f aca="false">SUM(F53:J53)</f>
        <v>47640.8519434605</v>
      </c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7" t="s">
        <v>306</v>
      </c>
      <c r="B57" s="43" t="n">
        <f aca="false">(J38-B5)/365</f>
        <v>4.3013698630137</v>
      </c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7" t="s">
        <v>307</v>
      </c>
      <c r="B58" s="28" t="n">
        <f aca="false">J47*(1+B33)</f>
        <v>15198.3500117825</v>
      </c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7" t="s">
        <v>308</v>
      </c>
      <c r="B59" s="28" t="n">
        <f aca="false">B58/(B30-B33)</f>
        <v>208069.756998226</v>
      </c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7" t="s">
        <v>309</v>
      </c>
      <c r="B60" s="28" t="n">
        <f aca="false">IS!J42*B34</f>
        <v>287141.753789308</v>
      </c>
      <c r="C60" s="3"/>
      <c r="D60" s="3"/>
      <c r="E60" s="3"/>
      <c r="F60" s="3"/>
      <c r="G60" s="3"/>
      <c r="H60" s="3"/>
      <c r="I60" s="3"/>
      <c r="J60" s="3"/>
      <c r="K60" s="3"/>
    </row>
    <row r="61" customFormat="false" ht="15" hidden="false" customHeight="true" outlineLevel="0" collapsed="false">
      <c r="A61" s="7" t="s">
        <v>310</v>
      </c>
      <c r="B61" s="28" t="n">
        <f aca="false">B59/(1+B30)^B57</f>
        <v>136458.496013609</v>
      </c>
      <c r="C61" s="3"/>
      <c r="D61" s="3"/>
      <c r="E61" s="3"/>
      <c r="F61" s="3"/>
      <c r="G61" s="3"/>
      <c r="H61" s="3"/>
      <c r="I61" s="3"/>
      <c r="J61" s="3"/>
      <c r="K61" s="3"/>
    </row>
    <row r="62" customFormat="false" ht="15" hidden="false" customHeight="true" outlineLevel="0" collapsed="false">
      <c r="A62" s="7" t="s">
        <v>311</v>
      </c>
      <c r="B62" s="28" t="n">
        <f aca="false">B60/(1+B30)^B57</f>
        <v>188316.32443889</v>
      </c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5" hidden="false" customHeight="true" outlineLevel="0" collapsed="false">
      <c r="A63" s="7" t="s">
        <v>312</v>
      </c>
      <c r="B63" s="35" t="n">
        <f aca="false">B59/IS!J42</f>
        <v>11.5939812585194</v>
      </c>
      <c r="C63" s="3"/>
      <c r="D63" s="3"/>
      <c r="E63" s="3"/>
      <c r="F63" s="3"/>
      <c r="G63" s="3"/>
      <c r="H63" s="3"/>
      <c r="I63" s="3"/>
      <c r="J63" s="3"/>
      <c r="K63" s="3"/>
    </row>
    <row r="64" customFormat="false" ht="15" hidden="false" customHeight="true" outlineLevel="0" collapsed="false">
      <c r="A64" s="7" t="s">
        <v>313</v>
      </c>
      <c r="B64" s="29" t="n">
        <f aca="false">(B60*B30-J47)/(B60+J47)</f>
        <v>0.0491315768737802</v>
      </c>
      <c r="C64" s="3"/>
      <c r="D64" s="3"/>
      <c r="E64" s="3"/>
      <c r="F64" s="3"/>
      <c r="G64" s="3"/>
      <c r="H64" s="3"/>
      <c r="I64" s="3"/>
      <c r="J64" s="3"/>
      <c r="K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customFormat="false" ht="15" hidden="false" customHeight="true" outlineLevel="0" collapsed="false">
      <c r="A66" s="5" t="s">
        <v>314</v>
      </c>
      <c r="B66" s="20" t="s">
        <v>315</v>
      </c>
      <c r="C66" s="20" t="s">
        <v>316</v>
      </c>
      <c r="D66" s="20" t="s">
        <v>317</v>
      </c>
      <c r="E66" s="3"/>
      <c r="F66" s="3"/>
      <c r="G66" s="3"/>
      <c r="H66" s="3"/>
      <c r="I66" s="3"/>
      <c r="J66" s="3"/>
      <c r="K66" s="3"/>
    </row>
    <row r="67" customFormat="false" ht="15" hidden="false" customHeight="true" outlineLevel="0" collapsed="false">
      <c r="A67" s="18" t="s">
        <v>318</v>
      </c>
      <c r="B67" s="28" t="n">
        <f aca="false">$B$56+$B$61</f>
        <v>184099.347957069</v>
      </c>
      <c r="C67" s="28" t="n">
        <f aca="false">$B$56+$B$62</f>
        <v>235957.17638235</v>
      </c>
      <c r="D67" s="28" t="n">
        <f aca="false">$B$35*B67+(1-$B$35)*C67</f>
        <v>210028.26216971</v>
      </c>
      <c r="E67" s="3"/>
      <c r="F67" s="3"/>
      <c r="G67" s="3"/>
      <c r="H67" s="3"/>
      <c r="I67" s="3"/>
      <c r="J67" s="3"/>
      <c r="K67" s="3"/>
    </row>
    <row r="68" customFormat="false" ht="15" hidden="false" customHeight="true" outlineLevel="0" collapsed="false">
      <c r="A68" s="7" t="s">
        <v>319</v>
      </c>
      <c r="B68" s="28" t="n">
        <f aca="false">$B$11</f>
        <v>8310</v>
      </c>
      <c r="C68" s="28" t="n">
        <f aca="false">$B$11</f>
        <v>8310</v>
      </c>
      <c r="D68" s="28" t="n">
        <f aca="false">$B$11</f>
        <v>8310</v>
      </c>
      <c r="E68" s="3"/>
      <c r="F68" s="3"/>
      <c r="G68" s="3"/>
      <c r="H68" s="3"/>
      <c r="I68" s="3"/>
      <c r="J68" s="3"/>
      <c r="K68" s="3"/>
    </row>
    <row r="69" customFormat="false" ht="15" hidden="false" customHeight="true" outlineLevel="0" collapsed="false">
      <c r="A69" s="7" t="s">
        <v>320</v>
      </c>
      <c r="B69" s="28" t="n">
        <f aca="false">$B$12</f>
        <v>3093</v>
      </c>
      <c r="C69" s="28" t="n">
        <f aca="false">$B$12</f>
        <v>3093</v>
      </c>
      <c r="D69" s="28" t="n">
        <f aca="false">$B$12</f>
        <v>3093</v>
      </c>
      <c r="E69" s="3"/>
      <c r="F69" s="3"/>
      <c r="G69" s="3"/>
      <c r="H69" s="3"/>
      <c r="I69" s="3"/>
      <c r="J69" s="3"/>
      <c r="K69" s="3"/>
    </row>
    <row r="70" customFormat="false" ht="15" hidden="false" customHeight="true" outlineLevel="0" collapsed="false">
      <c r="A70" s="7" t="s">
        <v>321</v>
      </c>
      <c r="B70" s="28" t="n">
        <f aca="false">$B$13*(1-$B$14)</f>
        <v>9059.2</v>
      </c>
      <c r="C70" s="28" t="n">
        <f aca="false">$B$13*(1-$B$14)</f>
        <v>9059.2</v>
      </c>
      <c r="D70" s="28" t="n">
        <f aca="false">$B$13*(1-$B$14)</f>
        <v>9059.2</v>
      </c>
      <c r="E70" s="3"/>
      <c r="F70" s="3"/>
      <c r="G70" s="3"/>
      <c r="H70" s="3"/>
      <c r="I70" s="3"/>
      <c r="J70" s="3"/>
      <c r="K70" s="3"/>
    </row>
    <row r="71" customFormat="false" ht="15" hidden="false" customHeight="true" outlineLevel="0" collapsed="false">
      <c r="A71" s="7" t="s">
        <v>322</v>
      </c>
      <c r="B71" s="28" t="n">
        <f aca="false">-$B$15</f>
        <v>-39288</v>
      </c>
      <c r="C71" s="28" t="n">
        <f aca="false">-$B$15</f>
        <v>-39288</v>
      </c>
      <c r="D71" s="28" t="n">
        <f aca="false">-$B$15</f>
        <v>-39288</v>
      </c>
      <c r="E71" s="3"/>
      <c r="F71" s="3"/>
      <c r="G71" s="3"/>
      <c r="H71" s="3"/>
      <c r="I71" s="3"/>
      <c r="J71" s="3"/>
      <c r="K71" s="3"/>
    </row>
    <row r="72" customFormat="false" ht="15" hidden="false" customHeight="true" outlineLevel="0" collapsed="false">
      <c r="A72" s="18" t="s">
        <v>323</v>
      </c>
      <c r="B72" s="31" t="n">
        <f aca="false">SUM(B67:B71)</f>
        <v>165273.547957069</v>
      </c>
      <c r="C72" s="31" t="n">
        <f aca="false">SUM(C67:C71)</f>
        <v>217131.37638235</v>
      </c>
      <c r="D72" s="31" t="n">
        <f aca="false">SUM(D67:D71)</f>
        <v>191202.46216971</v>
      </c>
      <c r="E72" s="3"/>
      <c r="F72" s="3"/>
      <c r="G72" s="3"/>
      <c r="H72" s="3"/>
      <c r="I72" s="3"/>
      <c r="J72" s="3"/>
      <c r="K72" s="3"/>
    </row>
    <row r="73" customFormat="false" ht="15" hidden="false" customHeight="true" outlineLevel="0" collapsed="false">
      <c r="A73" s="7" t="s">
        <v>122</v>
      </c>
      <c r="B73" s="28" t="n">
        <f aca="false">$B$9</f>
        <v>830</v>
      </c>
      <c r="C73" s="28" t="n">
        <f aca="false">$B$9</f>
        <v>830</v>
      </c>
      <c r="D73" s="28" t="n">
        <f aca="false">$B$9</f>
        <v>830</v>
      </c>
      <c r="E73" s="3"/>
      <c r="F73" s="3"/>
      <c r="G73" s="3"/>
      <c r="H73" s="3"/>
      <c r="I73" s="3"/>
      <c r="J73" s="3"/>
      <c r="K73" s="3"/>
    </row>
    <row r="74" customFormat="false" ht="15" hidden="false" customHeight="true" outlineLevel="0" collapsed="false">
      <c r="A74" s="18" t="s">
        <v>324</v>
      </c>
      <c r="B74" s="45" t="n">
        <f aca="false">B72/B73</f>
        <v>199.124756574782</v>
      </c>
      <c r="C74" s="45" t="n">
        <f aca="false">C72/C73</f>
        <v>261.604067930543</v>
      </c>
      <c r="D74" s="45" t="n">
        <f aca="false">D72/D73</f>
        <v>230.364412252662</v>
      </c>
      <c r="E74" s="3"/>
      <c r="F74" s="3"/>
      <c r="G74" s="3"/>
      <c r="H74" s="3"/>
      <c r="I74" s="3"/>
      <c r="J74" s="3"/>
      <c r="K74" s="3"/>
    </row>
    <row r="75" customFormat="false" ht="15" hidden="false" customHeight="true" outlineLevel="0" collapsed="false">
      <c r="A75" s="7" t="s">
        <v>325</v>
      </c>
      <c r="B75" s="33" t="n">
        <f aca="false">$B$6</f>
        <v>235.95</v>
      </c>
      <c r="C75" s="33" t="n">
        <f aca="false">$B$6</f>
        <v>235.95</v>
      </c>
      <c r="D75" s="33" t="n">
        <f aca="false">$B$6</f>
        <v>235.95</v>
      </c>
      <c r="E75" s="3"/>
      <c r="F75" s="3"/>
      <c r="G75" s="3"/>
      <c r="H75" s="3"/>
      <c r="I75" s="3"/>
      <c r="J75" s="3"/>
      <c r="K75" s="3"/>
    </row>
    <row r="76" customFormat="false" ht="15" hidden="false" customHeight="true" outlineLevel="0" collapsed="false">
      <c r="A76" s="7" t="s">
        <v>326</v>
      </c>
      <c r="B76" s="29" t="n">
        <f aca="false">B74/B75-1</f>
        <v>-0.156072233207111</v>
      </c>
      <c r="C76" s="29" t="n">
        <f aca="false">C74/C75-1</f>
        <v>0.10872671299234</v>
      </c>
      <c r="D76" s="29" t="n">
        <f aca="false">D74/D75-1</f>
        <v>-0.0236727601073857</v>
      </c>
      <c r="E76" s="3"/>
      <c r="F76" s="3"/>
      <c r="G76" s="3"/>
      <c r="H76" s="3"/>
      <c r="I76" s="3"/>
      <c r="J76" s="3"/>
      <c r="K76" s="3"/>
    </row>
    <row r="77" customFormat="false" ht="15" hidden="false" customHeight="true" outlineLevel="0" collapsed="false">
      <c r="A77" s="7" t="s">
        <v>327</v>
      </c>
      <c r="B77" s="29" t="n">
        <f aca="false">$B$61/B67</f>
        <v>0.741222049550278</v>
      </c>
      <c r="C77" s="29" t="n">
        <f aca="false">$B$62/C67</f>
        <v>0.798095346478201</v>
      </c>
      <c r="D77" s="29" t="n">
        <f aca="false">($B$35*$B$61+(1-$B$35)*$B$62)/D67</f>
        <v>0.773169327540476</v>
      </c>
      <c r="E77" s="3"/>
      <c r="F77" s="3"/>
      <c r="G77" s="3"/>
      <c r="H77" s="3"/>
      <c r="I77" s="3"/>
      <c r="J77" s="3"/>
      <c r="K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15" hidden="false" customHeight="true" outlineLevel="0" collapsed="false">
      <c r="A80" s="5" t="s">
        <v>328</v>
      </c>
      <c r="B80" s="6"/>
      <c r="C80" s="6"/>
      <c r="D80" s="6"/>
      <c r="E80" s="6"/>
      <c r="F80" s="6"/>
      <c r="G80" s="3"/>
      <c r="H80" s="3"/>
      <c r="I80" s="3"/>
      <c r="J80" s="3"/>
      <c r="K80" s="3"/>
    </row>
    <row r="81" customFormat="false" ht="15" hidden="false" customHeight="true" outlineLevel="0" collapsed="false">
      <c r="A81" s="4" t="s">
        <v>329</v>
      </c>
      <c r="B81" s="46" t="n">
        <f aca="false">$B$33-0.01</f>
        <v>0.02</v>
      </c>
      <c r="C81" s="46" t="n">
        <f aca="false">$B$33-0.005</f>
        <v>0.025</v>
      </c>
      <c r="D81" s="46" t="n">
        <f aca="false">$B$33</f>
        <v>0.03</v>
      </c>
      <c r="E81" s="46" t="n">
        <f aca="false">$B$33+0.005</f>
        <v>0.035</v>
      </c>
      <c r="F81" s="46" t="n">
        <f aca="false">$B$33+0.01</f>
        <v>0.04</v>
      </c>
      <c r="G81" s="3"/>
      <c r="H81" s="3"/>
      <c r="I81" s="3"/>
      <c r="J81" s="3"/>
      <c r="K81" s="3"/>
    </row>
    <row r="82" customFormat="false" ht="15" hidden="false" customHeight="true" outlineLevel="0" collapsed="false">
      <c r="A82" s="47" t="n">
        <f aca="false">$B$30+(-0.01)</f>
        <v>0.0930444934960543</v>
      </c>
      <c r="B82" s="33" t="n">
        <f aca="false">(SUMPRODUCT($F$50:$J$50,1/(1+$A82)^$F$51:$J$51)+$J$47*(1+B$81)/($A82-B$81)/(1+$A82)^$B$57+($B$11+$B$12+$B$13*(1-$B$14)-$B$15))/$B$9</f>
        <v>205.107940406231</v>
      </c>
      <c r="C82" s="33" t="n">
        <f aca="false">(SUMPRODUCT($F$50:$J$50,1/(1+$A82)^$F$51:$J$51)+$J$47*(1+C$81)/($A82-C$81)/(1+$A82)^$B$57+($B$11+$B$12+$B$13*(1-$B$14)-$B$15))/$B$9</f>
        <v>218.440479280989</v>
      </c>
      <c r="D82" s="33" t="n">
        <f aca="false">(SUMPRODUCT($F$50:$J$50,1/(1+$A82)^$F$51:$J$51)+$J$47*(1+D$81)/($A82-D$81)/(1+$A82)^$B$57+($B$11+$B$12+$B$13*(1-$B$14)-$B$15))/$B$9</f>
        <v>233.887800611029</v>
      </c>
      <c r="E82" s="33" t="n">
        <f aca="false">(SUMPRODUCT($F$50:$J$50,1/(1+$A82)^$F$51:$J$51)+$J$47*(1+E$81)/($A82-E$81)/(1+$A82)^$B$57+($B$11+$B$12+$B$13*(1-$B$14)-$B$15))/$B$9</f>
        <v>251.996411651709</v>
      </c>
      <c r="F82" s="33" t="n">
        <f aca="false">(SUMPRODUCT($F$50:$J$50,1/(1+$A82)^$F$51:$J$51)+$J$47*(1+F$81)/($A82-F$81)/(1+$A82)^$B$57+($B$11+$B$12+$B$13*(1-$B$14)-$B$15))/$B$9</f>
        <v>273.518875827217</v>
      </c>
      <c r="G82" s="3"/>
      <c r="H82" s="3"/>
      <c r="I82" s="3"/>
      <c r="J82" s="3"/>
      <c r="K82" s="3"/>
    </row>
    <row r="83" customFormat="false" ht="15" hidden="false" customHeight="true" outlineLevel="0" collapsed="false">
      <c r="A83" s="47" t="n">
        <f aca="false">$B$30+(-0.005)</f>
        <v>0.0980444934960542</v>
      </c>
      <c r="B83" s="33" t="n">
        <f aca="false">(SUMPRODUCT($F$50:$J$50,1/(1+$A83)^$F$51:$J$51)+$J$47*(1+B$81)/($A83-B$81)/(1+$A83)^$B$57+($B$11+$B$12+$B$13*(1-$B$14)-$B$15))/$B$9</f>
        <v>190.637791942475</v>
      </c>
      <c r="C83" s="33" t="n">
        <f aca="false">(SUMPRODUCT($F$50:$J$50,1/(1+$A83)^$F$51:$J$51)+$J$47*(1+C$81)/($A83-C$81)/(1+$A83)^$B$57+($B$11+$B$12+$B$13*(1-$B$14)-$B$15))/$B$9</f>
        <v>202.088173016023</v>
      </c>
      <c r="D83" s="33" t="n">
        <f aca="false">(SUMPRODUCT($F$50:$J$50,1/(1+$A83)^$F$51:$J$51)+$J$47*(1+D$81)/($A83-D$81)/(1+$A83)^$B$57+($B$11+$B$12+$B$13*(1-$B$14)-$B$15))/$B$9</f>
        <v>215.221332590114</v>
      </c>
      <c r="E83" s="33" t="n">
        <f aca="false">(SUMPRODUCT($F$50:$J$50,1/(1+$A83)^$F$51:$J$51)+$J$47*(1+E$81)/($A83-E$81)/(1+$A83)^$B$57+($B$11+$B$12+$B$13*(1-$B$14)-$B$15))/$B$9</f>
        <v>230.437649446596</v>
      </c>
      <c r="F83" s="33" t="n">
        <f aca="false">(SUMPRODUCT($F$50:$J$50,1/(1+$A83)^$F$51:$J$51)+$J$47*(1+F$81)/($A83-F$81)/(1+$A83)^$B$57+($B$11+$B$12+$B$13*(1-$B$14)-$B$15))/$B$9</f>
        <v>248.275458186285</v>
      </c>
      <c r="G83" s="3"/>
      <c r="H83" s="3"/>
      <c r="I83" s="3"/>
      <c r="J83" s="3"/>
      <c r="K83" s="3"/>
    </row>
    <row r="84" customFormat="false" ht="15" hidden="false" customHeight="true" outlineLevel="0" collapsed="false">
      <c r="A84" s="47" t="n">
        <f aca="false">$B$30+(0)</f>
        <v>0.103044493496054</v>
      </c>
      <c r="B84" s="33" t="n">
        <f aca="false">(SUMPRODUCT($F$50:$J$50,1/(1+$A84)^$F$51:$J$51)+$J$47*(1+B$81)/($A84-B$81)/(1+$A84)^$B$57+($B$11+$B$12+$B$13*(1-$B$14)-$B$15))/$B$9</f>
        <v>177.923214328043</v>
      </c>
      <c r="C84" s="33" t="n">
        <f aca="false">(SUMPRODUCT($F$50:$J$50,1/(1+$A84)^$F$51:$J$51)+$J$47*(1+C$81)/($A84-C$81)/(1+$A84)^$B$57+($B$11+$B$12+$B$13*(1-$B$14)-$B$15))/$B$9</f>
        <v>187.844836247638</v>
      </c>
      <c r="D84" s="48" t="n">
        <f aca="false">(SUMPRODUCT($F$50:$J$50,1/(1+$A84)^$F$51:$J$51)+$J$47*(1+D$81)/($A84-D$81)/(1+$A84)^$B$57+($B$11+$B$12+$B$13*(1-$B$14)-$B$15))/$B$9</f>
        <v>199.124756574782</v>
      </c>
      <c r="E84" s="33" t="n">
        <f aca="false">(SUMPRODUCT($F$50:$J$50,1/(1+$A84)^$F$51:$J$51)+$J$47*(1+E$81)/($A84-E$81)/(1+$A84)^$B$57+($B$11+$B$12+$B$13*(1-$B$14)-$B$15))/$B$9</f>
        <v>212.062404037157</v>
      </c>
      <c r="F84" s="33" t="n">
        <f aca="false">(SUMPRODUCT($F$50:$J$50,1/(1+$A84)^$F$51:$J$51)+$J$47*(1+F$81)/($A84-F$81)/(1+$A84)^$B$57+($B$11+$B$12+$B$13*(1-$B$14)-$B$15))/$B$9</f>
        <v>227.052197015331</v>
      </c>
      <c r="G84" s="3"/>
      <c r="H84" s="3"/>
      <c r="I84" s="3"/>
      <c r="J84" s="3"/>
      <c r="K84" s="3"/>
    </row>
    <row r="85" customFormat="false" ht="15" hidden="false" customHeight="true" outlineLevel="0" collapsed="false">
      <c r="A85" s="47" t="n">
        <f aca="false">$B$30+(0.005)</f>
        <v>0.108044493496054</v>
      </c>
      <c r="B85" s="33" t="n">
        <f aca="false">(SUMPRODUCT($F$50:$J$50,1/(1+$A85)^$F$51:$J$51)+$J$47*(1+B$81)/($A85-B$81)/(1+$A85)^$B$57+($B$11+$B$12+$B$13*(1-$B$14)-$B$15))/$B$9</f>
        <v>166.664654708407</v>
      </c>
      <c r="C85" s="33" t="n">
        <f aca="false">(SUMPRODUCT($F$50:$J$50,1/(1+$A85)^$F$51:$J$51)+$J$47*(1+C$81)/($A85-C$81)/(1+$A85)^$B$57+($B$11+$B$12+$B$13*(1-$B$14)-$B$15))/$B$9</f>
        <v>175.329050694751</v>
      </c>
      <c r="D85" s="33" t="n">
        <f aca="false">(SUMPRODUCT($F$50:$J$50,1/(1+$A85)^$F$51:$J$51)+$J$47*(1+D$81)/($A85-D$81)/(1+$A85)^$B$57+($B$11+$B$12+$B$13*(1-$B$14)-$B$15))/$B$9</f>
        <v>185.103633396161</v>
      </c>
      <c r="E85" s="33" t="n">
        <f aca="false">(SUMPRODUCT($F$50:$J$50,1/(1+$A85)^$F$51:$J$51)+$J$47*(1+E$81)/($A85-E$81)/(1+$A85)^$B$57+($B$11+$B$12+$B$13*(1-$B$14)-$B$15))/$B$9</f>
        <v>196.216384415754</v>
      </c>
      <c r="F85" s="33" t="n">
        <f aca="false">(SUMPRODUCT($F$50:$J$50,1/(1+$A85)^$F$51:$J$51)+$J$47*(1+F$81)/($A85-F$81)/(1+$A85)^$B$57+($B$11+$B$12+$B$13*(1-$B$14)-$B$15))/$B$9</f>
        <v>208.962294923885</v>
      </c>
      <c r="G85" s="3"/>
      <c r="H85" s="3"/>
      <c r="I85" s="3"/>
      <c r="J85" s="3"/>
      <c r="K85" s="3"/>
    </row>
    <row r="86" customFormat="false" ht="15" hidden="false" customHeight="true" outlineLevel="0" collapsed="false">
      <c r="A86" s="47" t="n">
        <f aca="false">$B$30+(0.01)</f>
        <v>0.113044493496054</v>
      </c>
      <c r="B86" s="33" t="n">
        <f aca="false">(SUMPRODUCT($F$50:$J$50,1/(1+$A86)^$F$51:$J$51)+$J$47*(1+B$81)/($A86-B$81)/(1+$A86)^$B$57+($B$11+$B$12+$B$13*(1-$B$14)-$B$15))/$B$9</f>
        <v>156.626966178411</v>
      </c>
      <c r="C86" s="33" t="n">
        <f aca="false">(SUMPRODUCT($F$50:$J$50,1/(1+$A86)^$F$51:$J$51)+$J$47*(1+C$81)/($A86-C$81)/(1+$A86)^$B$57+($B$11+$B$12+$B$13*(1-$B$14)-$B$15))/$B$9</f>
        <v>164.24605793886</v>
      </c>
      <c r="D86" s="33" t="n">
        <f aca="false">(SUMPRODUCT($F$50:$J$50,1/(1+$A86)^$F$51:$J$51)+$J$47*(1+D$81)/($A86-D$81)/(1+$A86)^$B$57+($B$11+$B$12+$B$13*(1-$B$14)-$B$15))/$B$9</f>
        <v>172.782620736785</v>
      </c>
      <c r="E86" s="33" t="n">
        <f aca="false">(SUMPRODUCT($F$50:$J$50,1/(1+$A86)^$F$51:$J$51)+$J$47*(1+E$81)/($A86-E$81)/(1+$A86)^$B$57+($B$11+$B$12+$B$13*(1-$B$14)-$B$15))/$B$9</f>
        <v>182.412990722831</v>
      </c>
      <c r="F86" s="33" t="n">
        <f aca="false">(SUMPRODUCT($F$50:$J$50,1/(1+$A86)^$F$51:$J$51)+$J$47*(1+F$81)/($A86-F$81)/(1+$A86)^$B$57+($B$11+$B$12+$B$13*(1-$B$14)-$B$15))/$B$9</f>
        <v>193.36178589401</v>
      </c>
      <c r="G86" s="3"/>
      <c r="H86" s="3"/>
      <c r="I86" s="3"/>
      <c r="J86" s="3"/>
      <c r="K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customFormat="false" ht="15" hidden="false" customHeight="true" outlineLevel="0" collapsed="false">
      <c r="A89" s="5" t="s">
        <v>330</v>
      </c>
      <c r="B89" s="6"/>
      <c r="C89" s="6"/>
      <c r="D89" s="6"/>
      <c r="E89" s="6"/>
      <c r="F89" s="6"/>
      <c r="G89" s="3"/>
      <c r="H89" s="3"/>
      <c r="I89" s="3"/>
      <c r="J89" s="3"/>
      <c r="K89" s="3"/>
    </row>
    <row r="90" customFormat="false" ht="15" hidden="false" customHeight="true" outlineLevel="0" collapsed="false">
      <c r="A90" s="4" t="s">
        <v>331</v>
      </c>
      <c r="B90" s="49" t="n">
        <f aca="false">$B$34-4</f>
        <v>12</v>
      </c>
      <c r="C90" s="49" t="n">
        <f aca="false">$B$34-2</f>
        <v>14</v>
      </c>
      <c r="D90" s="49" t="n">
        <f aca="false">$B$34</f>
        <v>16</v>
      </c>
      <c r="E90" s="49" t="n">
        <f aca="false">$B$34+2</f>
        <v>18</v>
      </c>
      <c r="F90" s="49" t="n">
        <f aca="false">$B$34+4</f>
        <v>20</v>
      </c>
      <c r="G90" s="3"/>
      <c r="H90" s="3"/>
      <c r="I90" s="3"/>
      <c r="J90" s="3"/>
      <c r="K90" s="3"/>
    </row>
    <row r="91" customFormat="false" ht="15" hidden="false" customHeight="true" outlineLevel="0" collapsed="false">
      <c r="A91" s="47" t="n">
        <f aca="false">$B$30+(-0.01)</f>
        <v>0.0930444934960543</v>
      </c>
      <c r="B91" s="33" t="n">
        <f aca="false">(SUMPRODUCT($F$50:$J$50,1/(1+$A91)^$F$51:$J$51)+IS!$J$42*B$90/(1+$A91)^$B$57+($B$11+$B$12+$B$13*(1-$B$14)-$B$15))/$B$9</f>
        <v>212.755445745143</v>
      </c>
      <c r="C91" s="33" t="n">
        <f aca="false">(SUMPRODUCT($F$50:$J$50,1/(1+$A91)^$F$51:$J$51)+IS!$J$42*C$90/(1+$A91)^$B$57+($B$11+$B$12+$B$13*(1-$B$14)-$B$15))/$B$9</f>
        <v>242.249374418605</v>
      </c>
      <c r="D91" s="33" t="n">
        <f aca="false">(SUMPRODUCT($F$50:$J$50,1/(1+$A91)^$F$51:$J$51)+IS!$J$42*D$90/(1+$A91)^$B$57+($B$11+$B$12+$B$13*(1-$B$14)-$B$15))/$B$9</f>
        <v>271.743303092066</v>
      </c>
      <c r="E91" s="33" t="n">
        <f aca="false">(SUMPRODUCT($F$50:$J$50,1/(1+$A91)^$F$51:$J$51)+IS!$J$42*E$90/(1+$A91)^$B$57+($B$11+$B$12+$B$13*(1-$B$14)-$B$15))/$B$9</f>
        <v>301.237231765527</v>
      </c>
      <c r="F91" s="33" t="n">
        <f aca="false">(SUMPRODUCT($F$50:$J$50,1/(1+$A91)^$F$51:$J$51)+IS!$J$42*F$90/(1+$A91)^$B$57+($B$11+$B$12+$B$13*(1-$B$14)-$B$15))/$B$9</f>
        <v>330.731160438988</v>
      </c>
      <c r="G91" s="3"/>
      <c r="H91" s="3"/>
      <c r="I91" s="3"/>
      <c r="J91" s="3"/>
      <c r="K91" s="3"/>
    </row>
    <row r="92" customFormat="false" ht="15" hidden="false" customHeight="true" outlineLevel="0" collapsed="false">
      <c r="A92" s="47" t="n">
        <f aca="false">$B$30+(-0.005)</f>
        <v>0.0980444934960542</v>
      </c>
      <c r="B92" s="33" t="n">
        <f aca="false">(SUMPRODUCT($F$50:$J$50,1/(1+$A92)^$F$51:$J$51)+IS!$J$42*B$90/(1+$A92)^$B$57+($B$11+$B$12+$B$13*(1-$B$14)-$B$15))/$B$9</f>
        <v>208.773166369688</v>
      </c>
      <c r="C92" s="33" t="n">
        <f aca="false">(SUMPRODUCT($F$50:$J$50,1/(1+$A92)^$F$51:$J$51)+IS!$J$42*C$90/(1+$A92)^$B$57+($B$11+$B$12+$B$13*(1-$B$14)-$B$15))/$B$9</f>
        <v>237.693739180433</v>
      </c>
      <c r="D92" s="33" t="n">
        <f aca="false">(SUMPRODUCT($F$50:$J$50,1/(1+$A92)^$F$51:$J$51)+IS!$J$42*D$90/(1+$A92)^$B$57+($B$11+$B$12+$B$13*(1-$B$14)-$B$15))/$B$9</f>
        <v>266.614311991177</v>
      </c>
      <c r="E92" s="33" t="n">
        <f aca="false">(SUMPRODUCT($F$50:$J$50,1/(1+$A92)^$F$51:$J$51)+IS!$J$42*E$90/(1+$A92)^$B$57+($B$11+$B$12+$B$13*(1-$B$14)-$B$15))/$B$9</f>
        <v>295.534884801921</v>
      </c>
      <c r="F92" s="33" t="n">
        <f aca="false">(SUMPRODUCT($F$50:$J$50,1/(1+$A92)^$F$51:$J$51)+IS!$J$42*F$90/(1+$A92)^$B$57+($B$11+$B$12+$B$13*(1-$B$14)-$B$15))/$B$9</f>
        <v>324.455457612666</v>
      </c>
      <c r="G92" s="3"/>
      <c r="H92" s="3"/>
      <c r="I92" s="3"/>
      <c r="J92" s="3"/>
      <c r="K92" s="3"/>
    </row>
    <row r="93" customFormat="false" ht="15" hidden="false" customHeight="true" outlineLevel="0" collapsed="false">
      <c r="A93" s="47" t="n">
        <f aca="false">$B$30+(0)</f>
        <v>0.103044493496054</v>
      </c>
      <c r="B93" s="33" t="n">
        <f aca="false">(SUMPRODUCT($F$50:$J$50,1/(1+$A93)^$F$51:$J$51)+IS!$J$42*B$90/(1+$A93)^$B$57+($B$11+$B$12+$B$13*(1-$B$14)-$B$15))/$B$9</f>
        <v>204.882283460997</v>
      </c>
      <c r="C93" s="33" t="n">
        <f aca="false">(SUMPRODUCT($F$50:$J$50,1/(1+$A93)^$F$51:$J$51)+IS!$J$42*C$90/(1+$A93)^$B$57+($B$11+$B$12+$B$13*(1-$B$14)-$B$15))/$B$9</f>
        <v>233.24317569577</v>
      </c>
      <c r="D93" s="48" t="n">
        <f aca="false">(SUMPRODUCT($F$50:$J$50,1/(1+$A93)^$F$51:$J$51)+IS!$J$42*D$90/(1+$A93)^$B$57+($B$11+$B$12+$B$13*(1-$B$14)-$B$15))/$B$9</f>
        <v>261.604067930543</v>
      </c>
      <c r="E93" s="33" t="n">
        <f aca="false">(SUMPRODUCT($F$50:$J$50,1/(1+$A93)^$F$51:$J$51)+IS!$J$42*E$90/(1+$A93)^$B$57+($B$11+$B$12+$B$13*(1-$B$14)-$B$15))/$B$9</f>
        <v>289.964960165315</v>
      </c>
      <c r="F93" s="33" t="n">
        <f aca="false">(SUMPRODUCT($F$50:$J$50,1/(1+$A93)^$F$51:$J$51)+IS!$J$42*F$90/(1+$A93)^$B$57+($B$11+$B$12+$B$13*(1-$B$14)-$B$15))/$B$9</f>
        <v>318.325852400088</v>
      </c>
      <c r="G93" s="3"/>
      <c r="H93" s="3"/>
      <c r="I93" s="3"/>
      <c r="J93" s="3"/>
      <c r="K93" s="3"/>
    </row>
    <row r="94" customFormat="false" ht="15" hidden="false" customHeight="true" outlineLevel="0" collapsed="false">
      <c r="A94" s="47" t="n">
        <f aca="false">$B$30+(0.005)</f>
        <v>0.108044493496054</v>
      </c>
      <c r="B94" s="33" t="n">
        <f aca="false">(SUMPRODUCT($F$50:$J$50,1/(1+$A94)^$F$51:$J$51)+IS!$J$42*B$90/(1+$A94)^$B$57+($B$11+$B$12+$B$13*(1-$B$14)-$B$15))/$B$9</f>
        <v>201.080268362116</v>
      </c>
      <c r="C94" s="33" t="n">
        <f aca="false">(SUMPRODUCT($F$50:$J$50,1/(1+$A94)^$F$51:$J$51)+IS!$J$42*C$90/(1+$A94)^$B$57+($B$11+$B$12+$B$13*(1-$B$14)-$B$15))/$B$9</f>
        <v>228.894769346549</v>
      </c>
      <c r="D94" s="33" t="n">
        <f aca="false">(SUMPRODUCT($F$50:$J$50,1/(1+$A94)^$F$51:$J$51)+IS!$J$42*D$90/(1+$A94)^$B$57+($B$11+$B$12+$B$13*(1-$B$14)-$B$15))/$B$9</f>
        <v>256.709270330982</v>
      </c>
      <c r="E94" s="33" t="n">
        <f aca="false">(SUMPRODUCT($F$50:$J$50,1/(1+$A94)^$F$51:$J$51)+IS!$J$42*E$90/(1+$A94)^$B$57+($B$11+$B$12+$B$13*(1-$B$14)-$B$15))/$B$9</f>
        <v>284.523771315414</v>
      </c>
      <c r="F94" s="33" t="n">
        <f aca="false">(SUMPRODUCT($F$50:$J$50,1/(1+$A94)^$F$51:$J$51)+IS!$J$42*F$90/(1+$A94)^$B$57+($B$11+$B$12+$B$13*(1-$B$14)-$B$15))/$B$9</f>
        <v>312.338272299847</v>
      </c>
      <c r="G94" s="3"/>
      <c r="H94" s="3"/>
      <c r="I94" s="3"/>
      <c r="J94" s="3"/>
      <c r="K94" s="3"/>
    </row>
    <row r="95" customFormat="false" ht="15" hidden="false" customHeight="true" outlineLevel="0" collapsed="false">
      <c r="A95" s="47" t="n">
        <f aca="false">$B$30+(0.01)</f>
        <v>0.113044493496054</v>
      </c>
      <c r="B95" s="33" t="n">
        <f aca="false">(SUMPRODUCT($F$50:$J$50,1/(1+$A95)^$F$51:$J$51)+IS!$J$42*B$90/(1+$A95)^$B$57+($B$11+$B$12+$B$13*(1-$B$14)-$B$15))/$B$9</f>
        <v>197.364673726526</v>
      </c>
      <c r="C95" s="33" t="n">
        <f aca="false">(SUMPRODUCT($F$50:$J$50,1/(1+$A95)^$F$51:$J$51)+IS!$J$42*C$90/(1+$A95)^$B$57+($B$11+$B$12+$B$13*(1-$B$14)-$B$15))/$B$9</f>
        <v>224.645699390553</v>
      </c>
      <c r="D95" s="33" t="n">
        <f aca="false">(SUMPRODUCT($F$50:$J$50,1/(1+$A95)^$F$51:$J$51)+IS!$J$42*D$90/(1+$A95)^$B$57+($B$11+$B$12+$B$13*(1-$B$14)-$B$15))/$B$9</f>
        <v>251.926725054579</v>
      </c>
      <c r="E95" s="33" t="n">
        <f aca="false">(SUMPRODUCT($F$50:$J$50,1/(1+$A95)^$F$51:$J$51)+IS!$J$42*E$90/(1+$A95)^$B$57+($B$11+$B$12+$B$13*(1-$B$14)-$B$15))/$B$9</f>
        <v>279.207750718606</v>
      </c>
      <c r="F95" s="33" t="n">
        <f aca="false">(SUMPRODUCT($F$50:$J$50,1/(1+$A95)^$F$51:$J$51)+IS!$J$42*F$90/(1+$A95)^$B$57+($B$11+$B$12+$B$13*(1-$B$14)-$B$15))/$B$9</f>
        <v>306.488776382632</v>
      </c>
      <c r="G95" s="3"/>
      <c r="H95" s="3"/>
      <c r="I95" s="3"/>
      <c r="J95" s="3"/>
      <c r="K9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332</v>
      </c>
      <c r="B1" s="3"/>
    </row>
    <row r="2" customFormat="false" ht="15" hidden="false" customHeight="true" outlineLevel="0" collapsed="false">
      <c r="A2" s="3"/>
      <c r="B2" s="3"/>
    </row>
    <row r="3" customFormat="false" ht="23.25" hidden="false" customHeight="true" outlineLevel="0" collapsed="false">
      <c r="A3" s="50" t="s">
        <v>333</v>
      </c>
      <c r="B3" s="51" t="s">
        <v>334</v>
      </c>
    </row>
    <row r="4" customFormat="false" ht="23.25" hidden="false" customHeight="true" outlineLevel="0" collapsed="false">
      <c r="A4" s="50" t="s">
        <v>335</v>
      </c>
      <c r="B4" s="51" t="s">
        <v>336</v>
      </c>
    </row>
    <row r="5" customFormat="false" ht="23.25" hidden="false" customHeight="true" outlineLevel="0" collapsed="false">
      <c r="A5" s="50" t="s">
        <v>337</v>
      </c>
      <c r="B5" s="51" t="s">
        <v>338</v>
      </c>
    </row>
    <row r="6" customFormat="false" ht="15" hidden="false" customHeight="true" outlineLevel="0" collapsed="false">
      <c r="A6" s="50" t="s">
        <v>339</v>
      </c>
      <c r="B6" s="51" t="s">
        <v>340</v>
      </c>
    </row>
    <row r="7" customFormat="false" ht="15" hidden="false" customHeight="true" outlineLevel="0" collapsed="false">
      <c r="A7" s="50" t="s">
        <v>341</v>
      </c>
      <c r="B7" s="51" t="s">
        <v>342</v>
      </c>
    </row>
    <row r="8" customFormat="false" ht="15" hidden="false" customHeight="true" outlineLevel="0" collapsed="false">
      <c r="A8" s="50"/>
      <c r="B8" s="51"/>
    </row>
    <row r="9" customFormat="false" ht="23.25" hidden="false" customHeight="true" outlineLevel="0" collapsed="false">
      <c r="A9" s="50" t="s">
        <v>343</v>
      </c>
      <c r="B9" s="51" t="s">
        <v>344</v>
      </c>
    </row>
    <row r="10" customFormat="false" ht="23.25" hidden="false" customHeight="true" outlineLevel="0" collapsed="false">
      <c r="A10" s="50" t="s">
        <v>345</v>
      </c>
      <c r="B10" s="51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2026-10-14T21:19:23Z</dcterms:created>
  <dc:creator>openpyxl</dc:creator>
  <dc:description/>
  <dc:language>en-US</dc:language>
  <cp:lastModifiedBy/>
  <dcterms:modified xsi:type="dcterms:W3CDTF">2026-10-14T21:19:44Z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